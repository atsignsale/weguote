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814f5d517ac12a/PEA/งานลูกค้า/เช่า Moblie Generator/"/>
    </mc:Choice>
  </mc:AlternateContent>
  <xr:revisionPtr revIDLastSave="8" documentId="8_{55EAA512-B510-444E-A7E3-44A212BE04F1}" xr6:coauthVersionLast="36" xr6:coauthVersionMax="36" xr10:uidLastSave="{A63DBAB9-7E52-4D97-8B13-3A9CE9E414B1}"/>
  <bookViews>
    <workbookView xWindow="0" yWindow="0" windowWidth="19008" windowHeight="10404" activeTab="1" xr2:uid="{00000000-000D-0000-FFFF-FFFF00000000}"/>
  </bookViews>
  <sheets>
    <sheet name="ประเภท ก" sheetId="1" r:id="rId1"/>
    <sheet name="ประเภท ข" sheetId="2" r:id="rId2"/>
    <sheet name="ประเภท ก ยกเว้นค่าเช่า" sheetId="5" r:id="rId3"/>
  </sheets>
  <definedNames>
    <definedName name="_xlnm.Print_Area" localSheetId="0">'ประเภท ก'!$A$1:$Q$37</definedName>
    <definedName name="_xlnm.Print_Area" localSheetId="2">'ประเภท ก ยกเว้นค่าเช่า'!$A$1:$Q$37</definedName>
    <definedName name="_xlnm.Print_Area" localSheetId="1">'ประเภท ข'!$A$1:$Q$37</definedName>
  </definedNames>
  <calcPr calcId="191029"/>
</workbook>
</file>

<file path=xl/calcChain.xml><?xml version="1.0" encoding="utf-8"?>
<calcChain xmlns="http://schemas.openxmlformats.org/spreadsheetml/2006/main">
  <c r="Q35" i="5" l="1"/>
  <c r="Q36" i="5" s="1"/>
  <c r="P35" i="5"/>
  <c r="O35" i="5"/>
  <c r="O36" i="5" s="1"/>
  <c r="O37" i="5" s="1"/>
  <c r="N35" i="5"/>
  <c r="N36" i="5" s="1"/>
  <c r="N37" i="5" s="1"/>
  <c r="M35" i="5"/>
  <c r="L35" i="5"/>
  <c r="L36" i="5" s="1"/>
  <c r="K35" i="5"/>
  <c r="K36" i="5" s="1"/>
  <c r="J35" i="5"/>
  <c r="I35" i="5"/>
  <c r="I36" i="5" s="1"/>
  <c r="I37" i="5" s="1"/>
  <c r="H35" i="5"/>
  <c r="H36" i="5" s="1"/>
  <c r="H37" i="5" s="1"/>
  <c r="G35" i="5"/>
  <c r="G36" i="5" s="1"/>
  <c r="F35" i="5"/>
  <c r="F36" i="5" s="1"/>
  <c r="F37" i="5" s="1"/>
  <c r="E35" i="5"/>
  <c r="D35" i="5"/>
  <c r="C35" i="5"/>
  <c r="B35" i="5"/>
  <c r="Q28" i="5"/>
  <c r="P28" i="5"/>
  <c r="O28" i="5"/>
  <c r="N28" i="5"/>
  <c r="M28" i="5"/>
  <c r="M29" i="5" s="1"/>
  <c r="M30" i="5" s="1"/>
  <c r="L28" i="5"/>
  <c r="L29" i="5" s="1"/>
  <c r="L30" i="5" s="1"/>
  <c r="K28" i="5"/>
  <c r="J28" i="5"/>
  <c r="I28" i="5"/>
  <c r="I29" i="5" s="1"/>
  <c r="H28" i="5"/>
  <c r="H29" i="5" s="1"/>
  <c r="G28" i="5"/>
  <c r="G29" i="5" s="1"/>
  <c r="G30" i="5" s="1"/>
  <c r="F28" i="5"/>
  <c r="F29" i="5" s="1"/>
  <c r="F30" i="5" s="1"/>
  <c r="E28" i="5"/>
  <c r="D28" i="5"/>
  <c r="D29" i="5" s="1"/>
  <c r="C28" i="5"/>
  <c r="B28" i="5"/>
  <c r="K22" i="5"/>
  <c r="Q21" i="5"/>
  <c r="Q22" i="5" s="1"/>
  <c r="P21" i="5"/>
  <c r="P22" i="5" s="1"/>
  <c r="O21" i="5"/>
  <c r="N21" i="5"/>
  <c r="M21" i="5"/>
  <c r="M22" i="5" s="1"/>
  <c r="L21" i="5"/>
  <c r="K21" i="5"/>
  <c r="J21" i="5"/>
  <c r="I21" i="5"/>
  <c r="I22" i="5" s="1"/>
  <c r="H21" i="5"/>
  <c r="H22" i="5" s="1"/>
  <c r="G21" i="5"/>
  <c r="F21" i="5"/>
  <c r="F22" i="5" s="1"/>
  <c r="F23" i="5" s="1"/>
  <c r="E21" i="5"/>
  <c r="E22" i="5" s="1"/>
  <c r="D21" i="5"/>
  <c r="C21" i="5"/>
  <c r="B21" i="5"/>
  <c r="Q14" i="5"/>
  <c r="Q15" i="5" s="1"/>
  <c r="P14" i="5"/>
  <c r="P15" i="5" s="1"/>
  <c r="O14" i="5"/>
  <c r="N14" i="5"/>
  <c r="M14" i="5"/>
  <c r="L14" i="5"/>
  <c r="L15" i="5" s="1"/>
  <c r="K14" i="5"/>
  <c r="K15" i="5" s="1"/>
  <c r="J14" i="5"/>
  <c r="I14" i="5"/>
  <c r="I15" i="5" s="1"/>
  <c r="H14" i="5"/>
  <c r="H15" i="5" s="1"/>
  <c r="G14" i="5"/>
  <c r="G15" i="5" s="1"/>
  <c r="G16" i="5" s="1"/>
  <c r="F14" i="5"/>
  <c r="F15" i="5" s="1"/>
  <c r="F16" i="5" s="1"/>
  <c r="E14" i="5"/>
  <c r="D14" i="5"/>
  <c r="D15" i="5" s="1"/>
  <c r="C14" i="5"/>
  <c r="B14" i="5"/>
  <c r="K8" i="5"/>
  <c r="Q7" i="5"/>
  <c r="P7" i="5"/>
  <c r="O7" i="5"/>
  <c r="N7" i="5"/>
  <c r="M7" i="5"/>
  <c r="L7" i="5"/>
  <c r="L8" i="5" s="1"/>
  <c r="K7" i="5"/>
  <c r="J7" i="5"/>
  <c r="J8" i="5" s="1"/>
  <c r="I7" i="5"/>
  <c r="I8" i="5" s="1"/>
  <c r="H7" i="5"/>
  <c r="H8" i="5" s="1"/>
  <c r="G7" i="5"/>
  <c r="G8" i="5" s="1"/>
  <c r="G9" i="5" s="1"/>
  <c r="F7" i="5"/>
  <c r="F8" i="5" s="1"/>
  <c r="F9" i="5" s="1"/>
  <c r="E7" i="5"/>
  <c r="E8" i="5" s="1"/>
  <c r="D7" i="5"/>
  <c r="D8" i="5" s="1"/>
  <c r="C7" i="5"/>
  <c r="B7" i="5"/>
  <c r="J36" i="5" l="1"/>
  <c r="J37" i="5" s="1"/>
  <c r="L9" i="5"/>
  <c r="M23" i="5"/>
  <c r="J39" i="5" s="1"/>
  <c r="P36" i="5"/>
  <c r="P37" i="5" s="1"/>
  <c r="M15" i="5"/>
  <c r="M16" i="5" s="1"/>
  <c r="K37" i="5"/>
  <c r="M36" i="5"/>
  <c r="M37" i="5" s="1"/>
  <c r="K23" i="5"/>
  <c r="P16" i="5"/>
  <c r="Q16" i="5"/>
  <c r="K29" i="5"/>
  <c r="K30" i="5" s="1"/>
  <c r="Q37" i="5"/>
  <c r="G37" i="5"/>
  <c r="D30" i="5"/>
  <c r="D9" i="5"/>
  <c r="G22" i="5"/>
  <c r="G23" i="5" s="1"/>
  <c r="E29" i="5"/>
  <c r="E30" i="5" s="1"/>
  <c r="L37" i="5"/>
  <c r="P30" i="5"/>
  <c r="E15" i="5"/>
  <c r="E16" i="5" s="1"/>
  <c r="D36" i="5"/>
  <c r="D37" i="5" s="1"/>
  <c r="P23" i="5"/>
  <c r="E36" i="5"/>
  <c r="E37" i="5" s="1"/>
  <c r="P8" i="5"/>
  <c r="P9" i="5" s="1"/>
  <c r="E23" i="5"/>
  <c r="Q23" i="5"/>
  <c r="P29" i="5"/>
  <c r="K16" i="5"/>
  <c r="D16" i="5"/>
  <c r="J29" i="5"/>
  <c r="J30" i="5" s="1"/>
  <c r="K9" i="5"/>
  <c r="Q8" i="5"/>
  <c r="Q9" i="5" s="1"/>
  <c r="J15" i="5"/>
  <c r="J16" i="5" s="1"/>
  <c r="D22" i="5"/>
  <c r="D23" i="5" s="1"/>
  <c r="Q29" i="5"/>
  <c r="Q30" i="5" s="1"/>
  <c r="J22" i="5"/>
  <c r="J23" i="5" s="1"/>
  <c r="L22" i="5"/>
  <c r="L23" i="5" s="1"/>
  <c r="L16" i="5"/>
  <c r="J9" i="5"/>
  <c r="M8" i="5"/>
  <c r="M9" i="5" s="1"/>
  <c r="E9" i="5"/>
  <c r="C16" i="5"/>
  <c r="H9" i="5"/>
  <c r="H16" i="5"/>
  <c r="H23" i="5"/>
  <c r="H30" i="5"/>
  <c r="I9" i="5"/>
  <c r="I16" i="5"/>
  <c r="I23" i="5"/>
  <c r="I30" i="5"/>
  <c r="B8" i="5"/>
  <c r="B9" i="5" s="1"/>
  <c r="N8" i="5"/>
  <c r="N9" i="5" s="1"/>
  <c r="B15" i="5"/>
  <c r="B16" i="5" s="1"/>
  <c r="N15" i="5"/>
  <c r="N16" i="5" s="1"/>
  <c r="B22" i="5"/>
  <c r="B23" i="5" s="1"/>
  <c r="N22" i="5"/>
  <c r="N23" i="5" s="1"/>
  <c r="B29" i="5"/>
  <c r="B30" i="5" s="1"/>
  <c r="N29" i="5"/>
  <c r="N30" i="5" s="1"/>
  <c r="B36" i="5"/>
  <c r="B37" i="5" s="1"/>
  <c r="C8" i="5"/>
  <c r="C9" i="5" s="1"/>
  <c r="O8" i="5"/>
  <c r="O9" i="5" s="1"/>
  <c r="C15" i="5"/>
  <c r="O15" i="5"/>
  <c r="O16" i="5" s="1"/>
  <c r="C22" i="5"/>
  <c r="C23" i="5" s="1"/>
  <c r="O22" i="5"/>
  <c r="O23" i="5" s="1"/>
  <c r="C29" i="5"/>
  <c r="C30" i="5" s="1"/>
  <c r="O29" i="5"/>
  <c r="O30" i="5" s="1"/>
  <c r="C36" i="5"/>
  <c r="C37" i="5" s="1"/>
  <c r="Q35" i="2"/>
  <c r="P35" i="2"/>
  <c r="O35" i="2"/>
  <c r="N35" i="2"/>
  <c r="M35" i="2"/>
  <c r="L35" i="2"/>
  <c r="L36" i="2" s="1"/>
  <c r="K35" i="2"/>
  <c r="J35" i="2"/>
  <c r="I35" i="2"/>
  <c r="H35" i="2"/>
  <c r="G35" i="2"/>
  <c r="F35" i="2"/>
  <c r="E35" i="2"/>
  <c r="D35" i="2"/>
  <c r="D36" i="2" s="1"/>
  <c r="C35" i="2"/>
  <c r="B35" i="2"/>
  <c r="Q28" i="2"/>
  <c r="P28" i="2"/>
  <c r="O28" i="2"/>
  <c r="N28" i="2"/>
  <c r="M28" i="2"/>
  <c r="L28" i="2"/>
  <c r="K28" i="2"/>
  <c r="K29" i="2" s="1"/>
  <c r="J28" i="2"/>
  <c r="I28" i="2"/>
  <c r="H28" i="2"/>
  <c r="G28" i="2"/>
  <c r="F28" i="2"/>
  <c r="E28" i="2"/>
  <c r="D28" i="2"/>
  <c r="C28" i="2"/>
  <c r="C29" i="2" s="1"/>
  <c r="B28" i="2"/>
  <c r="J28" i="1"/>
  <c r="J29" i="1" s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Q28" i="1"/>
  <c r="P28" i="1"/>
  <c r="O28" i="1"/>
  <c r="N28" i="1"/>
  <c r="M28" i="1"/>
  <c r="M29" i="1" s="1"/>
  <c r="L28" i="1"/>
  <c r="K28" i="1"/>
  <c r="I28" i="1"/>
  <c r="H28" i="1"/>
  <c r="G28" i="1"/>
  <c r="F28" i="1"/>
  <c r="E28" i="1"/>
  <c r="E29" i="1" s="1"/>
  <c r="D28" i="1"/>
  <c r="C28" i="1"/>
  <c r="B28" i="1"/>
  <c r="F37" i="2" l="1"/>
  <c r="K36" i="2"/>
  <c r="K37" i="2" s="1"/>
  <c r="B36" i="2"/>
  <c r="B37" i="2" s="1"/>
  <c r="J36" i="2"/>
  <c r="J37" i="2" s="1"/>
  <c r="D37" i="2"/>
  <c r="E36" i="2"/>
  <c r="E37" i="2" s="1"/>
  <c r="M36" i="2"/>
  <c r="M37" i="2" s="1"/>
  <c r="L37" i="2"/>
  <c r="F36" i="2"/>
  <c r="N36" i="2"/>
  <c r="N37" i="2" s="1"/>
  <c r="C36" i="2"/>
  <c r="C37" i="2" s="1"/>
  <c r="G36" i="2"/>
  <c r="G37" i="2" s="1"/>
  <c r="O36" i="2"/>
  <c r="O37" i="2" s="1"/>
  <c r="H36" i="2"/>
  <c r="H37" i="2" s="1"/>
  <c r="P36" i="2"/>
  <c r="P37" i="2" s="1"/>
  <c r="I36" i="2"/>
  <c r="I37" i="2" s="1"/>
  <c r="Q36" i="2"/>
  <c r="Q37" i="2" s="1"/>
  <c r="B29" i="2"/>
  <c r="B30" i="2" s="1"/>
  <c r="J29" i="2"/>
  <c r="J30" i="2" s="1"/>
  <c r="K30" i="2"/>
  <c r="D29" i="2"/>
  <c r="D30" i="2" s="1"/>
  <c r="L29" i="2"/>
  <c r="L30" i="2" s="1"/>
  <c r="C30" i="2"/>
  <c r="E29" i="2"/>
  <c r="E30" i="2" s="1"/>
  <c r="M29" i="2"/>
  <c r="M30" i="2" s="1"/>
  <c r="F29" i="2"/>
  <c r="F30" i="2" s="1"/>
  <c r="N29" i="2"/>
  <c r="N30" i="2" s="1"/>
  <c r="G29" i="2"/>
  <c r="G30" i="2" s="1"/>
  <c r="O29" i="2"/>
  <c r="O30" i="2" s="1"/>
  <c r="H29" i="2"/>
  <c r="H30" i="2" s="1"/>
  <c r="P29" i="2"/>
  <c r="P30" i="2" s="1"/>
  <c r="I29" i="2"/>
  <c r="I30" i="2" s="1"/>
  <c r="Q29" i="2"/>
  <c r="Q30" i="2" s="1"/>
  <c r="D37" i="1"/>
  <c r="C36" i="1"/>
  <c r="C37" i="1" s="1"/>
  <c r="K36" i="1"/>
  <c r="K37" i="1" s="1"/>
  <c r="D36" i="1"/>
  <c r="L36" i="1"/>
  <c r="L37" i="1" s="1"/>
  <c r="B36" i="1"/>
  <c r="B37" i="1" s="1"/>
  <c r="E36" i="1"/>
  <c r="E37" i="1" s="1"/>
  <c r="M36" i="1"/>
  <c r="M37" i="1" s="1"/>
  <c r="J36" i="1"/>
  <c r="J37" i="1" s="1"/>
  <c r="F36" i="1"/>
  <c r="F37" i="1" s="1"/>
  <c r="N36" i="1"/>
  <c r="N37" i="1" s="1"/>
  <c r="G36" i="1"/>
  <c r="G37" i="1" s="1"/>
  <c r="O36" i="1"/>
  <c r="O37" i="1" s="1"/>
  <c r="H36" i="1"/>
  <c r="H37" i="1" s="1"/>
  <c r="P36" i="1"/>
  <c r="P37" i="1" s="1"/>
  <c r="I36" i="1"/>
  <c r="I37" i="1" s="1"/>
  <c r="Q36" i="1"/>
  <c r="Q37" i="1" s="1"/>
  <c r="J30" i="1"/>
  <c r="B29" i="1"/>
  <c r="B30" i="1" s="1"/>
  <c r="K29" i="1"/>
  <c r="K30" i="1" s="1"/>
  <c r="D29" i="1"/>
  <c r="D30" i="1" s="1"/>
  <c r="L29" i="1"/>
  <c r="L30" i="1" s="1"/>
  <c r="M30" i="1"/>
  <c r="C29" i="1"/>
  <c r="C30" i="1" s="1"/>
  <c r="E30" i="1"/>
  <c r="F29" i="1"/>
  <c r="F30" i="1" s="1"/>
  <c r="N29" i="1"/>
  <c r="N30" i="1" s="1"/>
  <c r="G29" i="1"/>
  <c r="G30" i="1" s="1"/>
  <c r="O29" i="1"/>
  <c r="O30" i="1" s="1"/>
  <c r="H29" i="1"/>
  <c r="H30" i="1" s="1"/>
  <c r="P29" i="1"/>
  <c r="P30" i="1" s="1"/>
  <c r="I29" i="1"/>
  <c r="I30" i="1" s="1"/>
  <c r="Q29" i="1"/>
  <c r="Q30" i="1" s="1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Q21" i="1"/>
  <c r="P21" i="1"/>
  <c r="O21" i="1"/>
  <c r="N21" i="1"/>
  <c r="M21" i="1"/>
  <c r="L21" i="1"/>
  <c r="K21" i="1"/>
  <c r="J21" i="1"/>
  <c r="I21" i="1"/>
  <c r="H21" i="1"/>
  <c r="G21" i="1"/>
  <c r="G22" i="1" s="1"/>
  <c r="G23" i="1" s="1"/>
  <c r="F21" i="1"/>
  <c r="E21" i="1"/>
  <c r="D21" i="1"/>
  <c r="C21" i="1"/>
  <c r="B21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7" i="1"/>
  <c r="P7" i="1"/>
  <c r="O7" i="1"/>
  <c r="N7" i="1"/>
  <c r="N8" i="1" s="1"/>
  <c r="M7" i="1"/>
  <c r="L7" i="1"/>
  <c r="K7" i="1"/>
  <c r="K8" i="1" s="1"/>
  <c r="J7" i="1"/>
  <c r="I7" i="1"/>
  <c r="H7" i="1"/>
  <c r="H8" i="1" s="1"/>
  <c r="H9" i="1" s="1"/>
  <c r="G7" i="1"/>
  <c r="F7" i="1"/>
  <c r="E7" i="1"/>
  <c r="D7" i="1"/>
  <c r="C7" i="1"/>
  <c r="B7" i="1"/>
  <c r="B8" i="1" s="1"/>
  <c r="B9" i="1" l="1"/>
  <c r="B8" i="2"/>
  <c r="B9" i="2" s="1"/>
  <c r="J8" i="2"/>
  <c r="J9" i="2" s="1"/>
  <c r="B15" i="2"/>
  <c r="B16" i="2" s="1"/>
  <c r="J15" i="2"/>
  <c r="J16" i="2" s="1"/>
  <c r="B22" i="2"/>
  <c r="B23" i="2" s="1"/>
  <c r="J22" i="2"/>
  <c r="J23" i="2" s="1"/>
  <c r="C8" i="2"/>
  <c r="C9" i="2" s="1"/>
  <c r="K8" i="2"/>
  <c r="K9" i="2" s="1"/>
  <c r="C15" i="2"/>
  <c r="C16" i="2" s="1"/>
  <c r="K15" i="2"/>
  <c r="K16" i="2" s="1"/>
  <c r="C22" i="2"/>
  <c r="C23" i="2" s="1"/>
  <c r="K22" i="2"/>
  <c r="K23" i="2" s="1"/>
  <c r="D8" i="2"/>
  <c r="D9" i="2" s="1"/>
  <c r="L8" i="2"/>
  <c r="L9" i="2" s="1"/>
  <c r="D15" i="2"/>
  <c r="D16" i="2" s="1"/>
  <c r="L15" i="2"/>
  <c r="L16" i="2" s="1"/>
  <c r="D22" i="2"/>
  <c r="D23" i="2" s="1"/>
  <c r="L22" i="2"/>
  <c r="L23" i="2" s="1"/>
  <c r="E8" i="2"/>
  <c r="E9" i="2" s="1"/>
  <c r="M8" i="2"/>
  <c r="M9" i="2" s="1"/>
  <c r="E15" i="2"/>
  <c r="E16" i="2" s="1"/>
  <c r="M15" i="2"/>
  <c r="M16" i="2" s="1"/>
  <c r="E22" i="2"/>
  <c r="E23" i="2" s="1"/>
  <c r="M22" i="2"/>
  <c r="M23" i="2" s="1"/>
  <c r="F8" i="2"/>
  <c r="F9" i="2" s="1"/>
  <c r="N8" i="2"/>
  <c r="N9" i="2" s="1"/>
  <c r="F15" i="2"/>
  <c r="F16" i="2" s="1"/>
  <c r="N15" i="2"/>
  <c r="N16" i="2" s="1"/>
  <c r="F22" i="2"/>
  <c r="F23" i="2" s="1"/>
  <c r="N22" i="2"/>
  <c r="N23" i="2" s="1"/>
  <c r="G8" i="2"/>
  <c r="G9" i="2" s="1"/>
  <c r="O8" i="2"/>
  <c r="O9" i="2" s="1"/>
  <c r="G15" i="2"/>
  <c r="G16" i="2" s="1"/>
  <c r="O15" i="2"/>
  <c r="O16" i="2" s="1"/>
  <c r="G22" i="2"/>
  <c r="G23" i="2" s="1"/>
  <c r="O22" i="2"/>
  <c r="O23" i="2" s="1"/>
  <c r="H8" i="2"/>
  <c r="H9" i="2" s="1"/>
  <c r="P8" i="2"/>
  <c r="P9" i="2" s="1"/>
  <c r="H15" i="2"/>
  <c r="H16" i="2" s="1"/>
  <c r="P15" i="2"/>
  <c r="P16" i="2" s="1"/>
  <c r="H22" i="2"/>
  <c r="H23" i="2" s="1"/>
  <c r="P22" i="2"/>
  <c r="P23" i="2" s="1"/>
  <c r="I8" i="2"/>
  <c r="I9" i="2" s="1"/>
  <c r="Q8" i="2"/>
  <c r="Q9" i="2" s="1"/>
  <c r="I15" i="2"/>
  <c r="I16" i="2" s="1"/>
  <c r="Q15" i="2"/>
  <c r="Q16" i="2" s="1"/>
  <c r="I22" i="2"/>
  <c r="I23" i="2" s="1"/>
  <c r="Q22" i="2"/>
  <c r="Q23" i="2" s="1"/>
  <c r="Q22" i="1"/>
  <c r="Q23" i="1" s="1"/>
  <c r="P22" i="1"/>
  <c r="P23" i="1" s="1"/>
  <c r="O22" i="1"/>
  <c r="O23" i="1" s="1"/>
  <c r="N22" i="1"/>
  <c r="N23" i="1" s="1"/>
  <c r="M22" i="1"/>
  <c r="M23" i="1" s="1"/>
  <c r="L22" i="1"/>
  <c r="L23" i="1" s="1"/>
  <c r="K22" i="1"/>
  <c r="K23" i="1" s="1"/>
  <c r="J22" i="1"/>
  <c r="J23" i="1" s="1"/>
  <c r="I22" i="1"/>
  <c r="I23" i="1" s="1"/>
  <c r="H22" i="1"/>
  <c r="H23" i="1" s="1"/>
  <c r="F22" i="1"/>
  <c r="F23" i="1" s="1"/>
  <c r="E22" i="1"/>
  <c r="E23" i="1" s="1"/>
  <c r="D22" i="1"/>
  <c r="D23" i="1" s="1"/>
  <c r="C22" i="1"/>
  <c r="C23" i="1" s="1"/>
  <c r="B22" i="1"/>
  <c r="B23" i="1" s="1"/>
  <c r="Q15" i="1"/>
  <c r="Q16" i="1" s="1"/>
  <c r="P15" i="1"/>
  <c r="P16" i="1" s="1"/>
  <c r="O15" i="1"/>
  <c r="O16" i="1" s="1"/>
  <c r="N15" i="1"/>
  <c r="N16" i="1" s="1"/>
  <c r="M15" i="1"/>
  <c r="M16" i="1" s="1"/>
  <c r="L15" i="1"/>
  <c r="L16" i="1" s="1"/>
  <c r="K15" i="1"/>
  <c r="K16" i="1" s="1"/>
  <c r="J15" i="1"/>
  <c r="J16" i="1" s="1"/>
  <c r="I15" i="1"/>
  <c r="I16" i="1" s="1"/>
  <c r="H15" i="1"/>
  <c r="H16" i="1" s="1"/>
  <c r="G15" i="1"/>
  <c r="G16" i="1" s="1"/>
  <c r="F15" i="1"/>
  <c r="F16" i="1" s="1"/>
  <c r="E15" i="1"/>
  <c r="E16" i="1" s="1"/>
  <c r="D15" i="1"/>
  <c r="D16" i="1" s="1"/>
  <c r="C15" i="1"/>
  <c r="C16" i="1" s="1"/>
  <c r="B15" i="1"/>
  <c r="B16" i="1" s="1"/>
  <c r="Q8" i="1"/>
  <c r="Q9" i="1" s="1"/>
  <c r="P8" i="1"/>
  <c r="P9" i="1" s="1"/>
  <c r="O8" i="1"/>
  <c r="O9" i="1" s="1"/>
  <c r="N9" i="1"/>
  <c r="M8" i="1"/>
  <c r="M9" i="1" s="1"/>
  <c r="L8" i="1"/>
  <c r="L9" i="1" s="1"/>
  <c r="K9" i="1"/>
  <c r="J8" i="1"/>
  <c r="J9" i="1" s="1"/>
  <c r="I8" i="1"/>
  <c r="I9" i="1" s="1"/>
  <c r="G8" i="1"/>
  <c r="G9" i="1" s="1"/>
  <c r="F8" i="1"/>
  <c r="F9" i="1" s="1"/>
  <c r="E8" i="1"/>
  <c r="E9" i="1" s="1"/>
  <c r="D8" i="1"/>
  <c r="D9" i="1" s="1"/>
  <c r="C8" i="1"/>
  <c r="C9" i="1" s="1"/>
</calcChain>
</file>

<file path=xl/sharedStrings.xml><?xml version="1.0" encoding="utf-8"?>
<sst xmlns="http://schemas.openxmlformats.org/spreadsheetml/2006/main" count="159" uniqueCount="21">
  <si>
    <t>ขนาด 120 กว.</t>
  </si>
  <si>
    <t>ขนาด 300 กว.</t>
  </si>
  <si>
    <t>ขนาด 500 กว.</t>
  </si>
  <si>
    <t>ขนาด 800 กว.</t>
  </si>
  <si>
    <t xml:space="preserve">1.ค่าเช่า 1 วัน </t>
  </si>
  <si>
    <t>3.ค่าควบคุมงาน</t>
  </si>
  <si>
    <t>4.ภาษีมูลค่าเพิ่ม 7 %</t>
  </si>
  <si>
    <t>5.รวมเป็นเงินทั้งสิ้น</t>
  </si>
  <si>
    <t xml:space="preserve">1.ค่าเช่า 2 วัน </t>
  </si>
  <si>
    <t xml:space="preserve">1.ค่าเช่า 3 วัน </t>
  </si>
  <si>
    <t xml:space="preserve">2.ค่าขนส่ง </t>
  </si>
  <si>
    <t>50 กม.แรก</t>
  </si>
  <si>
    <t xml:space="preserve"> </t>
  </si>
  <si>
    <t>101-150 กม.</t>
  </si>
  <si>
    <t>151 กม. ขึ้นไป</t>
  </si>
  <si>
    <t>ค่าเช่าเครื่องยนต์กำเนิดไฟฟ้าสำรอง ประเภท ก</t>
  </si>
  <si>
    <t>รวม</t>
  </si>
  <si>
    <t>51-100 กม.</t>
  </si>
  <si>
    <t>ค่าเช่าเครื่องยนต์กำเนิดไฟฟ้าสำรอง ประเภท ข</t>
  </si>
  <si>
    <t xml:space="preserve">1.ค่าเช่า 4 วัน </t>
  </si>
  <si>
    <t xml:space="preserve">1.ค่าเช่า 5 วัน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</si>
</sst>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_(* #,##0_);_(* \(#,##0\);_(* &quot;-&quot;??_);_(@_)"/>
  </numFmts>
  <fonts count="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87" fontId="2" fillId="0" borderId="0" xfId="1" applyNumberFormat="1" applyFont="1"/>
    <xf numFmtId="187" fontId="4" fillId="0" borderId="0" xfId="1" applyNumberFormat="1" applyFont="1"/>
    <xf numFmtId="187" fontId="4" fillId="0" borderId="1" xfId="1" applyNumberFormat="1" applyFont="1" applyBorder="1"/>
    <xf numFmtId="187" fontId="4" fillId="0" borderId="1" xfId="1" applyNumberFormat="1" applyFont="1" applyBorder="1" applyAlignment="1">
      <alignment horizontal="left"/>
    </xf>
    <xf numFmtId="187" fontId="4" fillId="0" borderId="1" xfId="1" applyNumberFormat="1" applyFont="1" applyBorder="1" applyAlignment="1"/>
    <xf numFmtId="187" fontId="4" fillId="0" borderId="0" xfId="1" applyNumberFormat="1" applyFont="1" applyAlignment="1">
      <alignment horizontal="left"/>
    </xf>
    <xf numFmtId="187" fontId="4" fillId="0" borderId="2" xfId="1" applyNumberFormat="1" applyFont="1" applyBorder="1"/>
    <xf numFmtId="0" fontId="0" fillId="0" borderId="0" xfId="0" applyBorder="1"/>
    <xf numFmtId="187" fontId="4" fillId="0" borderId="4" xfId="1" applyNumberFormat="1" applyFont="1" applyBorder="1"/>
    <xf numFmtId="187" fontId="4" fillId="2" borderId="1" xfId="1" applyNumberFormat="1" applyFont="1" applyFill="1" applyBorder="1"/>
    <xf numFmtId="187" fontId="4" fillId="0" borderId="1" xfId="1" applyNumberFormat="1" applyFont="1" applyFill="1" applyBorder="1"/>
    <xf numFmtId="187" fontId="3" fillId="0" borderId="1" xfId="1" applyNumberFormat="1" applyFont="1" applyBorder="1" applyAlignment="1">
      <alignment horizontal="center"/>
    </xf>
    <xf numFmtId="187" fontId="5" fillId="0" borderId="0" xfId="1" applyNumberFormat="1" applyFont="1" applyAlignment="1">
      <alignment horizontal="center"/>
    </xf>
    <xf numFmtId="187" fontId="3" fillId="0" borderId="3" xfId="1" applyNumberFormat="1" applyFont="1" applyBorder="1" applyAlignment="1">
      <alignment horizontal="center"/>
    </xf>
    <xf numFmtId="187" fontId="3" fillId="2" borderId="1" xfId="1" applyNumberFormat="1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view="pageBreakPreview" topLeftCell="A7" zoomScaleNormal="100" zoomScaleSheetLayoutView="100" workbookViewId="0">
      <selection activeCell="M40" sqref="M40"/>
    </sheetView>
  </sheetViews>
  <sheetFormatPr defaultColWidth="8.69921875" defaultRowHeight="21" x14ac:dyDescent="0.4"/>
  <cols>
    <col min="1" max="1" width="17.59765625" style="1" customWidth="1"/>
    <col min="2" max="3" width="9.59765625" style="1" customWidth="1"/>
    <col min="4" max="4" width="10.59765625" style="1" customWidth="1"/>
    <col min="5" max="5" width="12.59765625" style="1" customWidth="1"/>
    <col min="6" max="7" width="9.59765625" style="1" customWidth="1"/>
    <col min="8" max="8" width="10.59765625" style="1" customWidth="1"/>
    <col min="9" max="9" width="12.59765625" style="1" customWidth="1"/>
    <col min="10" max="11" width="9.59765625" style="1" customWidth="1"/>
    <col min="12" max="12" width="10.59765625" style="1" customWidth="1"/>
    <col min="13" max="13" width="12.59765625" style="1" customWidth="1"/>
    <col min="14" max="15" width="9.59765625" style="1" customWidth="1"/>
    <col min="16" max="16" width="10.59765625" style="1" customWidth="1"/>
    <col min="17" max="17" width="12.8984375" style="1" customWidth="1"/>
    <col min="18" max="16384" width="8.69921875" style="1"/>
  </cols>
  <sheetData>
    <row r="1" spans="1:17" ht="25.8" x14ac:dyDescent="0.5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3.4" x14ac:dyDescent="0.45">
      <c r="A2" s="1" t="s">
        <v>12</v>
      </c>
      <c r="B2" s="12" t="s">
        <v>0</v>
      </c>
      <c r="C2" s="12"/>
      <c r="D2" s="12"/>
      <c r="E2" s="12"/>
      <c r="F2" s="12" t="s">
        <v>1</v>
      </c>
      <c r="G2" s="12"/>
      <c r="H2" s="12"/>
      <c r="I2" s="12"/>
      <c r="J2" s="12" t="s">
        <v>2</v>
      </c>
      <c r="K2" s="12"/>
      <c r="L2" s="12"/>
      <c r="M2" s="12"/>
      <c r="N2" s="12" t="s">
        <v>3</v>
      </c>
      <c r="O2" s="12"/>
      <c r="P2" s="12"/>
      <c r="Q2" s="12"/>
    </row>
    <row r="3" spans="1:17" s="2" customFormat="1" x14ac:dyDescent="0.4">
      <c r="B3" s="3" t="s">
        <v>11</v>
      </c>
      <c r="C3" s="3" t="s">
        <v>17</v>
      </c>
      <c r="D3" s="3" t="s">
        <v>13</v>
      </c>
      <c r="E3" s="3" t="s">
        <v>14</v>
      </c>
      <c r="F3" s="3" t="s">
        <v>11</v>
      </c>
      <c r="G3" s="3" t="s">
        <v>17</v>
      </c>
      <c r="H3" s="3" t="s">
        <v>13</v>
      </c>
      <c r="I3" s="3" t="s">
        <v>14</v>
      </c>
      <c r="J3" s="3" t="s">
        <v>11</v>
      </c>
      <c r="K3" s="3" t="s">
        <v>17</v>
      </c>
      <c r="L3" s="3" t="s">
        <v>13</v>
      </c>
      <c r="M3" s="3" t="s">
        <v>14</v>
      </c>
      <c r="N3" s="3" t="s">
        <v>11</v>
      </c>
      <c r="O3" s="3" t="s">
        <v>17</v>
      </c>
      <c r="P3" s="3" t="s">
        <v>13</v>
      </c>
      <c r="Q3" s="3" t="s">
        <v>14</v>
      </c>
    </row>
    <row r="4" spans="1:17" s="2" customFormat="1" x14ac:dyDescent="0.4">
      <c r="A4" s="4" t="s">
        <v>4</v>
      </c>
      <c r="B4" s="3">
        <v>2000</v>
      </c>
      <c r="C4" s="3">
        <v>2000</v>
      </c>
      <c r="D4" s="3">
        <v>2000</v>
      </c>
      <c r="E4" s="3">
        <v>2000</v>
      </c>
      <c r="F4" s="3">
        <v>4600</v>
      </c>
      <c r="G4" s="3">
        <v>4600</v>
      </c>
      <c r="H4" s="3">
        <v>4600</v>
      </c>
      <c r="I4" s="3">
        <v>4600</v>
      </c>
      <c r="J4" s="3">
        <v>7100</v>
      </c>
      <c r="K4" s="3">
        <v>7100</v>
      </c>
      <c r="L4" s="3">
        <v>7100</v>
      </c>
      <c r="M4" s="3">
        <v>7100</v>
      </c>
      <c r="N4" s="3">
        <v>12500</v>
      </c>
      <c r="O4" s="3">
        <v>12500</v>
      </c>
      <c r="P4" s="3">
        <v>12500</v>
      </c>
      <c r="Q4" s="3">
        <v>12500</v>
      </c>
    </row>
    <row r="5" spans="1:17" s="2" customFormat="1" x14ac:dyDescent="0.4">
      <c r="A5" s="4" t="s">
        <v>10</v>
      </c>
      <c r="B5" s="3">
        <v>1000</v>
      </c>
      <c r="C5" s="3">
        <v>1500</v>
      </c>
      <c r="D5" s="3">
        <v>2000</v>
      </c>
      <c r="E5" s="3">
        <v>2500</v>
      </c>
      <c r="F5" s="3">
        <v>1000</v>
      </c>
      <c r="G5" s="3">
        <v>1500</v>
      </c>
      <c r="H5" s="3">
        <v>2000</v>
      </c>
      <c r="I5" s="3">
        <v>2500</v>
      </c>
      <c r="J5" s="3">
        <v>1200</v>
      </c>
      <c r="K5" s="3">
        <v>1800</v>
      </c>
      <c r="L5" s="3">
        <v>2400</v>
      </c>
      <c r="M5" s="3">
        <v>3000</v>
      </c>
      <c r="N5" s="3">
        <v>1200</v>
      </c>
      <c r="O5" s="3">
        <v>1800</v>
      </c>
      <c r="P5" s="3">
        <v>2400</v>
      </c>
      <c r="Q5" s="3">
        <v>3000</v>
      </c>
    </row>
    <row r="6" spans="1:17" s="2" customFormat="1" x14ac:dyDescent="0.4">
      <c r="A6" s="4" t="s">
        <v>5</v>
      </c>
      <c r="B6" s="3">
        <v>3200</v>
      </c>
      <c r="C6" s="3">
        <v>3200</v>
      </c>
      <c r="D6" s="3">
        <v>3200</v>
      </c>
      <c r="E6" s="3">
        <v>3200</v>
      </c>
      <c r="F6" s="3">
        <v>3200</v>
      </c>
      <c r="G6" s="3">
        <v>3200</v>
      </c>
      <c r="H6" s="3">
        <v>3200</v>
      </c>
      <c r="I6" s="3">
        <v>3200</v>
      </c>
      <c r="J6" s="3">
        <v>3200</v>
      </c>
      <c r="K6" s="3">
        <v>3200</v>
      </c>
      <c r="L6" s="3">
        <v>3200</v>
      </c>
      <c r="M6" s="3">
        <v>3200</v>
      </c>
      <c r="N6" s="3">
        <v>3200</v>
      </c>
      <c r="O6" s="3">
        <v>3200</v>
      </c>
      <c r="P6" s="3">
        <v>3200</v>
      </c>
      <c r="Q6" s="3">
        <v>3200</v>
      </c>
    </row>
    <row r="7" spans="1:17" s="2" customFormat="1" x14ac:dyDescent="0.4">
      <c r="A7" s="5" t="s">
        <v>16</v>
      </c>
      <c r="B7" s="3">
        <f t="shared" ref="B7:Q7" si="0">SUM(B4:B6)</f>
        <v>6200</v>
      </c>
      <c r="C7" s="3">
        <f t="shared" si="0"/>
        <v>6700</v>
      </c>
      <c r="D7" s="3">
        <f t="shared" si="0"/>
        <v>7200</v>
      </c>
      <c r="E7" s="3">
        <f t="shared" si="0"/>
        <v>7700</v>
      </c>
      <c r="F7" s="3">
        <f t="shared" si="0"/>
        <v>8800</v>
      </c>
      <c r="G7" s="3">
        <f t="shared" si="0"/>
        <v>9300</v>
      </c>
      <c r="H7" s="3">
        <f t="shared" si="0"/>
        <v>9800</v>
      </c>
      <c r="I7" s="3">
        <f t="shared" si="0"/>
        <v>10300</v>
      </c>
      <c r="J7" s="3">
        <f t="shared" si="0"/>
        <v>11500</v>
      </c>
      <c r="K7" s="3">
        <f t="shared" si="0"/>
        <v>12100</v>
      </c>
      <c r="L7" s="3">
        <f t="shared" si="0"/>
        <v>12700</v>
      </c>
      <c r="M7" s="3">
        <f t="shared" si="0"/>
        <v>13300</v>
      </c>
      <c r="N7" s="3">
        <f t="shared" si="0"/>
        <v>16900</v>
      </c>
      <c r="O7" s="3">
        <f t="shared" si="0"/>
        <v>17500</v>
      </c>
      <c r="P7" s="3">
        <f t="shared" si="0"/>
        <v>18100</v>
      </c>
      <c r="Q7" s="3">
        <f t="shared" si="0"/>
        <v>18700</v>
      </c>
    </row>
    <row r="8" spans="1:17" s="2" customFormat="1" x14ac:dyDescent="0.4">
      <c r="A8" s="4" t="s">
        <v>6</v>
      </c>
      <c r="B8" s="3">
        <f t="shared" ref="B8:Q8" si="1">B7*0.07</f>
        <v>434.00000000000006</v>
      </c>
      <c r="C8" s="3">
        <f t="shared" si="1"/>
        <v>469.00000000000006</v>
      </c>
      <c r="D8" s="3">
        <f t="shared" si="1"/>
        <v>504.00000000000006</v>
      </c>
      <c r="E8" s="3">
        <f t="shared" si="1"/>
        <v>539</v>
      </c>
      <c r="F8" s="3">
        <f t="shared" si="1"/>
        <v>616.00000000000011</v>
      </c>
      <c r="G8" s="3">
        <f t="shared" si="1"/>
        <v>651.00000000000011</v>
      </c>
      <c r="H8" s="3">
        <f t="shared" si="1"/>
        <v>686.00000000000011</v>
      </c>
      <c r="I8" s="3">
        <f t="shared" si="1"/>
        <v>721.00000000000011</v>
      </c>
      <c r="J8" s="3">
        <f t="shared" si="1"/>
        <v>805.00000000000011</v>
      </c>
      <c r="K8" s="3">
        <f t="shared" si="1"/>
        <v>847.00000000000011</v>
      </c>
      <c r="L8" s="3">
        <f t="shared" si="1"/>
        <v>889.00000000000011</v>
      </c>
      <c r="M8" s="3">
        <f t="shared" si="1"/>
        <v>931.00000000000011</v>
      </c>
      <c r="N8" s="3">
        <f t="shared" si="1"/>
        <v>1183</v>
      </c>
      <c r="O8" s="3">
        <f t="shared" si="1"/>
        <v>1225.0000000000002</v>
      </c>
      <c r="P8" s="3">
        <f t="shared" si="1"/>
        <v>1267.0000000000002</v>
      </c>
      <c r="Q8" s="3">
        <f t="shared" si="1"/>
        <v>1309.0000000000002</v>
      </c>
    </row>
    <row r="9" spans="1:17" s="2" customFormat="1" x14ac:dyDescent="0.4">
      <c r="A9" s="4" t="s">
        <v>7</v>
      </c>
      <c r="B9" s="3">
        <f t="shared" ref="B9:Q9" si="2">B7+B8</f>
        <v>6634</v>
      </c>
      <c r="C9" s="3">
        <f t="shared" si="2"/>
        <v>7169</v>
      </c>
      <c r="D9" s="3">
        <f t="shared" si="2"/>
        <v>7704</v>
      </c>
      <c r="E9" s="3">
        <f t="shared" si="2"/>
        <v>8239</v>
      </c>
      <c r="F9" s="3">
        <f t="shared" si="2"/>
        <v>9416</v>
      </c>
      <c r="G9" s="3">
        <f t="shared" si="2"/>
        <v>9951</v>
      </c>
      <c r="H9" s="3">
        <f t="shared" si="2"/>
        <v>10486</v>
      </c>
      <c r="I9" s="3">
        <f t="shared" si="2"/>
        <v>11021</v>
      </c>
      <c r="J9" s="3">
        <f t="shared" si="2"/>
        <v>12305</v>
      </c>
      <c r="K9" s="3">
        <f t="shared" si="2"/>
        <v>12947</v>
      </c>
      <c r="L9" s="3">
        <f t="shared" si="2"/>
        <v>13589</v>
      </c>
      <c r="M9" s="3">
        <f t="shared" si="2"/>
        <v>14231</v>
      </c>
      <c r="N9" s="3">
        <f t="shared" si="2"/>
        <v>18083</v>
      </c>
      <c r="O9" s="3">
        <f t="shared" si="2"/>
        <v>18725</v>
      </c>
      <c r="P9" s="3">
        <f t="shared" si="2"/>
        <v>19367</v>
      </c>
      <c r="Q9" s="3">
        <f t="shared" si="2"/>
        <v>20009</v>
      </c>
    </row>
    <row r="10" spans="1:17" s="2" customFormat="1" x14ac:dyDescent="0.4"/>
    <row r="11" spans="1:17" s="2" customFormat="1" x14ac:dyDescent="0.4">
      <c r="A11" s="4" t="s">
        <v>8</v>
      </c>
      <c r="B11" s="3">
        <v>3500</v>
      </c>
      <c r="C11" s="3">
        <v>3500</v>
      </c>
      <c r="D11" s="3">
        <v>3500</v>
      </c>
      <c r="E11" s="3">
        <v>3500</v>
      </c>
      <c r="F11" s="3">
        <v>8100</v>
      </c>
      <c r="G11" s="3">
        <v>8100</v>
      </c>
      <c r="H11" s="3">
        <v>8100</v>
      </c>
      <c r="I11" s="3">
        <v>8100</v>
      </c>
      <c r="J11" s="3">
        <v>12500</v>
      </c>
      <c r="K11" s="3">
        <v>12500</v>
      </c>
      <c r="L11" s="3">
        <v>12500</v>
      </c>
      <c r="M11" s="3">
        <v>12500</v>
      </c>
      <c r="N11" s="3">
        <v>21800</v>
      </c>
      <c r="O11" s="3">
        <v>21800</v>
      </c>
      <c r="P11" s="3">
        <v>21800</v>
      </c>
      <c r="Q11" s="3">
        <v>21800</v>
      </c>
    </row>
    <row r="12" spans="1:17" s="2" customFormat="1" x14ac:dyDescent="0.4">
      <c r="A12" s="4" t="s">
        <v>10</v>
      </c>
      <c r="B12" s="3">
        <v>1000</v>
      </c>
      <c r="C12" s="3">
        <v>1500</v>
      </c>
      <c r="D12" s="3">
        <v>2000</v>
      </c>
      <c r="E12" s="3">
        <v>2500</v>
      </c>
      <c r="F12" s="3">
        <v>1000</v>
      </c>
      <c r="G12" s="3">
        <v>1500</v>
      </c>
      <c r="H12" s="3">
        <v>2000</v>
      </c>
      <c r="I12" s="3">
        <v>2500</v>
      </c>
      <c r="J12" s="3">
        <v>1200</v>
      </c>
      <c r="K12" s="3">
        <v>1800</v>
      </c>
      <c r="L12" s="3">
        <v>2400</v>
      </c>
      <c r="M12" s="3">
        <v>3000</v>
      </c>
      <c r="N12" s="3">
        <v>1200</v>
      </c>
      <c r="O12" s="3">
        <v>1800</v>
      </c>
      <c r="P12" s="3">
        <v>2400</v>
      </c>
      <c r="Q12" s="3">
        <v>3000</v>
      </c>
    </row>
    <row r="13" spans="1:17" s="2" customFormat="1" x14ac:dyDescent="0.4">
      <c r="A13" s="4" t="s">
        <v>5</v>
      </c>
      <c r="B13" s="3">
        <v>6400</v>
      </c>
      <c r="C13" s="3">
        <v>6400</v>
      </c>
      <c r="D13" s="3">
        <v>6400</v>
      </c>
      <c r="E13" s="3">
        <v>6400</v>
      </c>
      <c r="F13" s="3">
        <v>6400</v>
      </c>
      <c r="G13" s="3">
        <v>6400</v>
      </c>
      <c r="H13" s="3">
        <v>6400</v>
      </c>
      <c r="I13" s="3">
        <v>6400</v>
      </c>
      <c r="J13" s="3">
        <v>6400</v>
      </c>
      <c r="K13" s="3">
        <v>6400</v>
      </c>
      <c r="L13" s="3">
        <v>6400</v>
      </c>
      <c r="M13" s="3">
        <v>6400</v>
      </c>
      <c r="N13" s="3">
        <v>6400</v>
      </c>
      <c r="O13" s="3">
        <v>6400</v>
      </c>
      <c r="P13" s="3">
        <v>6400</v>
      </c>
      <c r="Q13" s="3">
        <v>6400</v>
      </c>
    </row>
    <row r="14" spans="1:17" s="2" customFormat="1" x14ac:dyDescent="0.4">
      <c r="A14" s="5" t="s">
        <v>16</v>
      </c>
      <c r="B14" s="3">
        <f t="shared" ref="B14:Q14" si="3">SUM(B11:B13)</f>
        <v>10900</v>
      </c>
      <c r="C14" s="3">
        <f t="shared" si="3"/>
        <v>11400</v>
      </c>
      <c r="D14" s="3">
        <f t="shared" si="3"/>
        <v>11900</v>
      </c>
      <c r="E14" s="3">
        <f t="shared" si="3"/>
        <v>12400</v>
      </c>
      <c r="F14" s="3">
        <f t="shared" si="3"/>
        <v>15500</v>
      </c>
      <c r="G14" s="3">
        <f t="shared" si="3"/>
        <v>16000</v>
      </c>
      <c r="H14" s="3">
        <f t="shared" si="3"/>
        <v>16500</v>
      </c>
      <c r="I14" s="3">
        <f t="shared" si="3"/>
        <v>17000</v>
      </c>
      <c r="J14" s="3">
        <f t="shared" si="3"/>
        <v>20100</v>
      </c>
      <c r="K14" s="3">
        <f t="shared" si="3"/>
        <v>20700</v>
      </c>
      <c r="L14" s="3">
        <f t="shared" si="3"/>
        <v>21300</v>
      </c>
      <c r="M14" s="3">
        <f t="shared" si="3"/>
        <v>21900</v>
      </c>
      <c r="N14" s="3">
        <f t="shared" si="3"/>
        <v>29400</v>
      </c>
      <c r="O14" s="3">
        <f t="shared" si="3"/>
        <v>30000</v>
      </c>
      <c r="P14" s="3">
        <f t="shared" si="3"/>
        <v>30600</v>
      </c>
      <c r="Q14" s="3">
        <f t="shared" si="3"/>
        <v>31200</v>
      </c>
    </row>
    <row r="15" spans="1:17" s="2" customFormat="1" x14ac:dyDescent="0.4">
      <c r="A15" s="4" t="s">
        <v>6</v>
      </c>
      <c r="B15" s="3">
        <f t="shared" ref="B15:Q15" si="4">B14*0.07</f>
        <v>763.00000000000011</v>
      </c>
      <c r="C15" s="3">
        <f t="shared" si="4"/>
        <v>798.00000000000011</v>
      </c>
      <c r="D15" s="3">
        <f t="shared" si="4"/>
        <v>833.00000000000011</v>
      </c>
      <c r="E15" s="3">
        <f t="shared" si="4"/>
        <v>868.00000000000011</v>
      </c>
      <c r="F15" s="3">
        <f t="shared" si="4"/>
        <v>1085</v>
      </c>
      <c r="G15" s="3">
        <f t="shared" si="4"/>
        <v>1120</v>
      </c>
      <c r="H15" s="3">
        <f t="shared" si="4"/>
        <v>1155</v>
      </c>
      <c r="I15" s="3">
        <f t="shared" si="4"/>
        <v>1190</v>
      </c>
      <c r="J15" s="3">
        <f t="shared" si="4"/>
        <v>1407.0000000000002</v>
      </c>
      <c r="K15" s="3">
        <f t="shared" si="4"/>
        <v>1449.0000000000002</v>
      </c>
      <c r="L15" s="3">
        <f t="shared" si="4"/>
        <v>1491.0000000000002</v>
      </c>
      <c r="M15" s="3">
        <f t="shared" si="4"/>
        <v>1533.0000000000002</v>
      </c>
      <c r="N15" s="3">
        <f t="shared" si="4"/>
        <v>2058</v>
      </c>
      <c r="O15" s="3">
        <f t="shared" si="4"/>
        <v>2100</v>
      </c>
      <c r="P15" s="3">
        <f t="shared" si="4"/>
        <v>2142</v>
      </c>
      <c r="Q15" s="3">
        <f t="shared" si="4"/>
        <v>2184</v>
      </c>
    </row>
    <row r="16" spans="1:17" s="2" customFormat="1" x14ac:dyDescent="0.4">
      <c r="A16" s="4" t="s">
        <v>7</v>
      </c>
      <c r="B16" s="3">
        <f t="shared" ref="B16:Q16" si="5">B14+B15</f>
        <v>11663</v>
      </c>
      <c r="C16" s="3">
        <f t="shared" si="5"/>
        <v>12198</v>
      </c>
      <c r="D16" s="3">
        <f t="shared" si="5"/>
        <v>12733</v>
      </c>
      <c r="E16" s="3">
        <f t="shared" si="5"/>
        <v>13268</v>
      </c>
      <c r="F16" s="3">
        <f t="shared" si="5"/>
        <v>16585</v>
      </c>
      <c r="G16" s="3">
        <f t="shared" si="5"/>
        <v>17120</v>
      </c>
      <c r="H16" s="3">
        <f t="shared" si="5"/>
        <v>17655</v>
      </c>
      <c r="I16" s="3">
        <f t="shared" si="5"/>
        <v>18190</v>
      </c>
      <c r="J16" s="3">
        <f t="shared" si="5"/>
        <v>21507</v>
      </c>
      <c r="K16" s="3">
        <f t="shared" si="5"/>
        <v>22149</v>
      </c>
      <c r="L16" s="3">
        <f t="shared" si="5"/>
        <v>22791</v>
      </c>
      <c r="M16" s="3">
        <f t="shared" si="5"/>
        <v>23433</v>
      </c>
      <c r="N16" s="3">
        <f t="shared" si="5"/>
        <v>31458</v>
      </c>
      <c r="O16" s="3">
        <f t="shared" si="5"/>
        <v>32100</v>
      </c>
      <c r="P16" s="3">
        <f t="shared" si="5"/>
        <v>32742</v>
      </c>
      <c r="Q16" s="3">
        <f t="shared" si="5"/>
        <v>33384</v>
      </c>
    </row>
    <row r="17" spans="1:17" s="2" customFormat="1" x14ac:dyDescent="0.4">
      <c r="A17" s="6"/>
      <c r="L17" s="2" t="s">
        <v>12</v>
      </c>
    </row>
    <row r="18" spans="1:17" s="2" customFormat="1" x14ac:dyDescent="0.4">
      <c r="A18" s="4" t="s">
        <v>9</v>
      </c>
      <c r="B18" s="3">
        <v>4700</v>
      </c>
      <c r="C18" s="3">
        <v>4700</v>
      </c>
      <c r="D18" s="3">
        <v>4700</v>
      </c>
      <c r="E18" s="3">
        <v>4700</v>
      </c>
      <c r="F18" s="3">
        <v>10900</v>
      </c>
      <c r="G18" s="3">
        <v>10900</v>
      </c>
      <c r="H18" s="3">
        <v>10900</v>
      </c>
      <c r="I18" s="3">
        <v>10900</v>
      </c>
      <c r="J18" s="3">
        <v>16800</v>
      </c>
      <c r="K18" s="3">
        <v>16800</v>
      </c>
      <c r="L18" s="3">
        <v>16800</v>
      </c>
      <c r="M18" s="3">
        <v>16800</v>
      </c>
      <c r="N18" s="3">
        <v>29300</v>
      </c>
      <c r="O18" s="3">
        <v>29300</v>
      </c>
      <c r="P18" s="3">
        <v>29300</v>
      </c>
      <c r="Q18" s="3">
        <v>29300</v>
      </c>
    </row>
    <row r="19" spans="1:17" s="2" customFormat="1" x14ac:dyDescent="0.4">
      <c r="A19" s="4" t="s">
        <v>10</v>
      </c>
      <c r="B19" s="3">
        <v>1000</v>
      </c>
      <c r="C19" s="3">
        <v>1500</v>
      </c>
      <c r="D19" s="3">
        <v>2000</v>
      </c>
      <c r="E19" s="3">
        <v>2500</v>
      </c>
      <c r="F19" s="3">
        <v>1000</v>
      </c>
      <c r="G19" s="3">
        <v>1500</v>
      </c>
      <c r="H19" s="3">
        <v>2000</v>
      </c>
      <c r="I19" s="3">
        <v>2500</v>
      </c>
      <c r="J19" s="3">
        <v>1200</v>
      </c>
      <c r="K19" s="3">
        <v>1800</v>
      </c>
      <c r="L19" s="3">
        <v>2400</v>
      </c>
      <c r="M19" s="3">
        <v>3000</v>
      </c>
      <c r="N19" s="3">
        <v>1200</v>
      </c>
      <c r="O19" s="3">
        <v>1800</v>
      </c>
      <c r="P19" s="3">
        <v>2400</v>
      </c>
      <c r="Q19" s="3">
        <v>3000</v>
      </c>
    </row>
    <row r="20" spans="1:17" s="2" customFormat="1" x14ac:dyDescent="0.4">
      <c r="A20" s="4" t="s">
        <v>5</v>
      </c>
      <c r="B20" s="3">
        <v>9600</v>
      </c>
      <c r="C20" s="3">
        <v>9600</v>
      </c>
      <c r="D20" s="3">
        <v>9600</v>
      </c>
      <c r="E20" s="3">
        <v>9600</v>
      </c>
      <c r="F20" s="3">
        <v>9600</v>
      </c>
      <c r="G20" s="3">
        <v>9600</v>
      </c>
      <c r="H20" s="3">
        <v>9600</v>
      </c>
      <c r="I20" s="3">
        <v>9600</v>
      </c>
      <c r="J20" s="3">
        <v>9600</v>
      </c>
      <c r="K20" s="3">
        <v>9600</v>
      </c>
      <c r="L20" s="3">
        <v>9600</v>
      </c>
      <c r="M20" s="3">
        <v>9600</v>
      </c>
      <c r="N20" s="3">
        <v>9600</v>
      </c>
      <c r="O20" s="3">
        <v>9600</v>
      </c>
      <c r="P20" s="3">
        <v>9600</v>
      </c>
      <c r="Q20" s="3">
        <v>9600</v>
      </c>
    </row>
    <row r="21" spans="1:17" s="2" customFormat="1" x14ac:dyDescent="0.4">
      <c r="A21" s="5" t="s">
        <v>16</v>
      </c>
      <c r="B21" s="3">
        <f t="shared" ref="B21:Q21" si="6">SUM(B18:B20)</f>
        <v>15300</v>
      </c>
      <c r="C21" s="3">
        <f t="shared" si="6"/>
        <v>15800</v>
      </c>
      <c r="D21" s="3">
        <f t="shared" si="6"/>
        <v>16300</v>
      </c>
      <c r="E21" s="3">
        <f t="shared" si="6"/>
        <v>16800</v>
      </c>
      <c r="F21" s="3">
        <f t="shared" si="6"/>
        <v>21500</v>
      </c>
      <c r="G21" s="3">
        <f t="shared" si="6"/>
        <v>22000</v>
      </c>
      <c r="H21" s="3">
        <f t="shared" si="6"/>
        <v>22500</v>
      </c>
      <c r="I21" s="3">
        <f t="shared" si="6"/>
        <v>23000</v>
      </c>
      <c r="J21" s="3">
        <f t="shared" si="6"/>
        <v>27600</v>
      </c>
      <c r="K21" s="3">
        <f t="shared" si="6"/>
        <v>28200</v>
      </c>
      <c r="L21" s="3">
        <f t="shared" si="6"/>
        <v>28800</v>
      </c>
      <c r="M21" s="3">
        <f t="shared" si="6"/>
        <v>29400</v>
      </c>
      <c r="N21" s="3">
        <f t="shared" si="6"/>
        <v>40100</v>
      </c>
      <c r="O21" s="3">
        <f t="shared" si="6"/>
        <v>40700</v>
      </c>
      <c r="P21" s="3">
        <f t="shared" si="6"/>
        <v>41300</v>
      </c>
      <c r="Q21" s="3">
        <f t="shared" si="6"/>
        <v>41900</v>
      </c>
    </row>
    <row r="22" spans="1:17" s="2" customFormat="1" x14ac:dyDescent="0.4">
      <c r="A22" s="4" t="s">
        <v>6</v>
      </c>
      <c r="B22" s="3">
        <f t="shared" ref="B22:Q22" si="7">B21*0.07</f>
        <v>1071</v>
      </c>
      <c r="C22" s="3">
        <f t="shared" si="7"/>
        <v>1106</v>
      </c>
      <c r="D22" s="3">
        <f t="shared" si="7"/>
        <v>1141</v>
      </c>
      <c r="E22" s="3">
        <f t="shared" si="7"/>
        <v>1176</v>
      </c>
      <c r="F22" s="3">
        <f t="shared" si="7"/>
        <v>1505.0000000000002</v>
      </c>
      <c r="G22" s="3">
        <f t="shared" si="7"/>
        <v>1540.0000000000002</v>
      </c>
      <c r="H22" s="3">
        <f t="shared" si="7"/>
        <v>1575.0000000000002</v>
      </c>
      <c r="I22" s="3">
        <f t="shared" si="7"/>
        <v>1610.0000000000002</v>
      </c>
      <c r="J22" s="3">
        <f t="shared" si="7"/>
        <v>1932.0000000000002</v>
      </c>
      <c r="K22" s="3">
        <f t="shared" si="7"/>
        <v>1974.0000000000002</v>
      </c>
      <c r="L22" s="3">
        <f t="shared" si="7"/>
        <v>2016.0000000000002</v>
      </c>
      <c r="M22" s="3">
        <f t="shared" si="7"/>
        <v>2058</v>
      </c>
      <c r="N22" s="3">
        <f t="shared" si="7"/>
        <v>2807.0000000000005</v>
      </c>
      <c r="O22" s="3">
        <f t="shared" si="7"/>
        <v>2849.0000000000005</v>
      </c>
      <c r="P22" s="3">
        <f t="shared" si="7"/>
        <v>2891.0000000000005</v>
      </c>
      <c r="Q22" s="3">
        <f t="shared" si="7"/>
        <v>2933.0000000000005</v>
      </c>
    </row>
    <row r="23" spans="1:17" s="2" customFormat="1" x14ac:dyDescent="0.4">
      <c r="A23" s="4" t="s">
        <v>7</v>
      </c>
      <c r="B23" s="3">
        <f t="shared" ref="B23:Q23" si="8">B21+B22</f>
        <v>16371</v>
      </c>
      <c r="C23" s="3">
        <f t="shared" si="8"/>
        <v>16906</v>
      </c>
      <c r="D23" s="3">
        <f t="shared" si="8"/>
        <v>17441</v>
      </c>
      <c r="E23" s="3">
        <f t="shared" si="8"/>
        <v>17976</v>
      </c>
      <c r="F23" s="3">
        <f t="shared" si="8"/>
        <v>23005</v>
      </c>
      <c r="G23" s="3">
        <f t="shared" si="8"/>
        <v>23540</v>
      </c>
      <c r="H23" s="3">
        <f t="shared" si="8"/>
        <v>24075</v>
      </c>
      <c r="I23" s="3">
        <f t="shared" si="8"/>
        <v>24610</v>
      </c>
      <c r="J23" s="3">
        <f t="shared" si="8"/>
        <v>29532</v>
      </c>
      <c r="K23" s="3">
        <f t="shared" si="8"/>
        <v>30174</v>
      </c>
      <c r="L23" s="3">
        <f t="shared" si="8"/>
        <v>30816</v>
      </c>
      <c r="M23" s="3">
        <f t="shared" si="8"/>
        <v>31458</v>
      </c>
      <c r="N23" s="3">
        <f t="shared" si="8"/>
        <v>42907</v>
      </c>
      <c r="O23" s="3">
        <f t="shared" si="8"/>
        <v>43549</v>
      </c>
      <c r="P23" s="3">
        <f t="shared" si="8"/>
        <v>44191</v>
      </c>
      <c r="Q23" s="3">
        <f t="shared" si="8"/>
        <v>44833</v>
      </c>
    </row>
    <row r="25" spans="1:17" x14ac:dyDescent="0.4">
      <c r="A25" s="4" t="s">
        <v>19</v>
      </c>
      <c r="B25" s="3">
        <v>5900</v>
      </c>
      <c r="C25" s="3">
        <v>5900</v>
      </c>
      <c r="D25" s="3">
        <v>5900</v>
      </c>
      <c r="E25" s="3">
        <v>5900</v>
      </c>
      <c r="F25" s="3">
        <v>13700</v>
      </c>
      <c r="G25" s="3">
        <v>13700</v>
      </c>
      <c r="H25" s="3">
        <v>13700</v>
      </c>
      <c r="I25" s="3">
        <v>13700</v>
      </c>
      <c r="J25" s="3">
        <v>21100</v>
      </c>
      <c r="K25" s="3">
        <v>21100</v>
      </c>
      <c r="L25" s="3">
        <v>21100</v>
      </c>
      <c r="M25" s="3">
        <v>21100</v>
      </c>
      <c r="N25" s="3">
        <v>36800</v>
      </c>
      <c r="O25" s="3">
        <v>36800</v>
      </c>
      <c r="P25" s="3">
        <v>36800</v>
      </c>
      <c r="Q25" s="3">
        <v>36800</v>
      </c>
    </row>
    <row r="26" spans="1:17" x14ac:dyDescent="0.4">
      <c r="A26" s="4" t="s">
        <v>10</v>
      </c>
      <c r="B26" s="3">
        <v>1000</v>
      </c>
      <c r="C26" s="3">
        <v>1500</v>
      </c>
      <c r="D26" s="3">
        <v>2000</v>
      </c>
      <c r="E26" s="3">
        <v>2500</v>
      </c>
      <c r="F26" s="3">
        <v>1000</v>
      </c>
      <c r="G26" s="3">
        <v>1500</v>
      </c>
      <c r="H26" s="3">
        <v>2000</v>
      </c>
      <c r="I26" s="3">
        <v>2500</v>
      </c>
      <c r="J26" s="3">
        <v>1200</v>
      </c>
      <c r="K26" s="3">
        <v>1800</v>
      </c>
      <c r="L26" s="3">
        <v>2400</v>
      </c>
      <c r="M26" s="3">
        <v>3000</v>
      </c>
      <c r="N26" s="3">
        <v>1200</v>
      </c>
      <c r="O26" s="3">
        <v>1800</v>
      </c>
      <c r="P26" s="3">
        <v>2400</v>
      </c>
      <c r="Q26" s="3">
        <v>3000</v>
      </c>
    </row>
    <row r="27" spans="1:17" x14ac:dyDescent="0.4">
      <c r="A27" s="4" t="s">
        <v>5</v>
      </c>
      <c r="B27" s="3">
        <v>12800</v>
      </c>
      <c r="C27" s="3">
        <v>12800</v>
      </c>
      <c r="D27" s="3">
        <v>12800</v>
      </c>
      <c r="E27" s="3">
        <v>12800</v>
      </c>
      <c r="F27" s="3">
        <v>12800</v>
      </c>
      <c r="G27" s="3">
        <v>12800</v>
      </c>
      <c r="H27" s="3">
        <v>12800</v>
      </c>
      <c r="I27" s="3">
        <v>12800</v>
      </c>
      <c r="J27" s="3">
        <v>12800</v>
      </c>
      <c r="K27" s="3">
        <v>12800</v>
      </c>
      <c r="L27" s="3">
        <v>12800</v>
      </c>
      <c r="M27" s="3">
        <v>12800</v>
      </c>
      <c r="N27" s="3">
        <v>12800</v>
      </c>
      <c r="O27" s="3">
        <v>12800</v>
      </c>
      <c r="P27" s="3">
        <v>12800</v>
      </c>
      <c r="Q27" s="3">
        <v>12800</v>
      </c>
    </row>
    <row r="28" spans="1:17" x14ac:dyDescent="0.4">
      <c r="A28" s="5" t="s">
        <v>16</v>
      </c>
      <c r="B28" s="3">
        <f t="shared" ref="B28:Q28" si="9">SUM(B25:B27)</f>
        <v>19700</v>
      </c>
      <c r="C28" s="3">
        <f t="shared" si="9"/>
        <v>20200</v>
      </c>
      <c r="D28" s="3">
        <f t="shared" si="9"/>
        <v>20700</v>
      </c>
      <c r="E28" s="3">
        <f t="shared" si="9"/>
        <v>21200</v>
      </c>
      <c r="F28" s="3">
        <f t="shared" si="9"/>
        <v>27500</v>
      </c>
      <c r="G28" s="3">
        <f t="shared" si="9"/>
        <v>28000</v>
      </c>
      <c r="H28" s="3">
        <f t="shared" si="9"/>
        <v>28500</v>
      </c>
      <c r="I28" s="3">
        <f t="shared" si="9"/>
        <v>29000</v>
      </c>
      <c r="J28" s="3">
        <f t="shared" si="9"/>
        <v>35100</v>
      </c>
      <c r="K28" s="3">
        <f t="shared" si="9"/>
        <v>35700</v>
      </c>
      <c r="L28" s="3">
        <f t="shared" si="9"/>
        <v>36300</v>
      </c>
      <c r="M28" s="3">
        <f t="shared" si="9"/>
        <v>36900</v>
      </c>
      <c r="N28" s="3">
        <f t="shared" si="9"/>
        <v>50800</v>
      </c>
      <c r="O28" s="3">
        <f t="shared" si="9"/>
        <v>51400</v>
      </c>
      <c r="P28" s="3">
        <f t="shared" si="9"/>
        <v>52000</v>
      </c>
      <c r="Q28" s="3">
        <f t="shared" si="9"/>
        <v>52600</v>
      </c>
    </row>
    <row r="29" spans="1:17" x14ac:dyDescent="0.4">
      <c r="A29" s="4" t="s">
        <v>6</v>
      </c>
      <c r="B29" s="3">
        <f t="shared" ref="B29:Q29" si="10">B28*0.07</f>
        <v>1379.0000000000002</v>
      </c>
      <c r="C29" s="3">
        <f t="shared" si="10"/>
        <v>1414.0000000000002</v>
      </c>
      <c r="D29" s="3">
        <f t="shared" si="10"/>
        <v>1449.0000000000002</v>
      </c>
      <c r="E29" s="3">
        <f t="shared" si="10"/>
        <v>1484.0000000000002</v>
      </c>
      <c r="F29" s="3">
        <f t="shared" si="10"/>
        <v>1925.0000000000002</v>
      </c>
      <c r="G29" s="3">
        <f t="shared" si="10"/>
        <v>1960.0000000000002</v>
      </c>
      <c r="H29" s="3">
        <f t="shared" si="10"/>
        <v>1995.0000000000002</v>
      </c>
      <c r="I29" s="3">
        <f t="shared" si="10"/>
        <v>2030.0000000000002</v>
      </c>
      <c r="J29" s="3">
        <f t="shared" si="10"/>
        <v>2457.0000000000005</v>
      </c>
      <c r="K29" s="3">
        <f t="shared" si="10"/>
        <v>2499.0000000000005</v>
      </c>
      <c r="L29" s="3">
        <f t="shared" si="10"/>
        <v>2541.0000000000005</v>
      </c>
      <c r="M29" s="3">
        <f t="shared" si="10"/>
        <v>2583.0000000000005</v>
      </c>
      <c r="N29" s="3">
        <f t="shared" si="10"/>
        <v>3556.0000000000005</v>
      </c>
      <c r="O29" s="3">
        <f t="shared" si="10"/>
        <v>3598.0000000000005</v>
      </c>
      <c r="P29" s="3">
        <f t="shared" si="10"/>
        <v>3640.0000000000005</v>
      </c>
      <c r="Q29" s="3">
        <f t="shared" si="10"/>
        <v>3682.0000000000005</v>
      </c>
    </row>
    <row r="30" spans="1:17" x14ac:dyDescent="0.4">
      <c r="A30" s="4" t="s">
        <v>7</v>
      </c>
      <c r="B30" s="3">
        <f t="shared" ref="B30:Q30" si="11">B28+B29</f>
        <v>21079</v>
      </c>
      <c r="C30" s="3">
        <f t="shared" si="11"/>
        <v>21614</v>
      </c>
      <c r="D30" s="3">
        <f t="shared" si="11"/>
        <v>22149</v>
      </c>
      <c r="E30" s="3">
        <f t="shared" si="11"/>
        <v>22684</v>
      </c>
      <c r="F30" s="3">
        <f t="shared" si="11"/>
        <v>29425</v>
      </c>
      <c r="G30" s="3">
        <f t="shared" si="11"/>
        <v>29960</v>
      </c>
      <c r="H30" s="3">
        <f t="shared" si="11"/>
        <v>30495</v>
      </c>
      <c r="I30" s="3">
        <f t="shared" si="11"/>
        <v>31030</v>
      </c>
      <c r="J30" s="3">
        <f t="shared" si="11"/>
        <v>37557</v>
      </c>
      <c r="K30" s="3">
        <f t="shared" si="11"/>
        <v>38199</v>
      </c>
      <c r="L30" s="3">
        <f t="shared" si="11"/>
        <v>38841</v>
      </c>
      <c r="M30" s="3">
        <f t="shared" si="11"/>
        <v>39483</v>
      </c>
      <c r="N30" s="3">
        <f t="shared" si="11"/>
        <v>54356</v>
      </c>
      <c r="O30" s="3">
        <f t="shared" si="11"/>
        <v>54998</v>
      </c>
      <c r="P30" s="3">
        <f t="shared" si="11"/>
        <v>55640</v>
      </c>
      <c r="Q30" s="3">
        <f t="shared" si="11"/>
        <v>56282</v>
      </c>
    </row>
    <row r="32" spans="1:17" x14ac:dyDescent="0.4">
      <c r="A32" s="4" t="s">
        <v>20</v>
      </c>
      <c r="B32" s="3">
        <v>7100</v>
      </c>
      <c r="C32" s="3">
        <v>7100</v>
      </c>
      <c r="D32" s="3">
        <v>7100</v>
      </c>
      <c r="E32" s="3">
        <v>7100</v>
      </c>
      <c r="F32" s="3">
        <v>16500</v>
      </c>
      <c r="G32" s="3">
        <v>16500</v>
      </c>
      <c r="H32" s="3">
        <v>16500</v>
      </c>
      <c r="I32" s="3">
        <v>16500</v>
      </c>
      <c r="J32" s="3">
        <v>25400</v>
      </c>
      <c r="K32" s="3">
        <v>25400</v>
      </c>
      <c r="L32" s="3">
        <v>25400</v>
      </c>
      <c r="M32" s="3">
        <v>25400</v>
      </c>
      <c r="N32" s="3">
        <v>44300</v>
      </c>
      <c r="O32" s="3">
        <v>44300</v>
      </c>
      <c r="P32" s="3">
        <v>44300</v>
      </c>
      <c r="Q32" s="3">
        <v>44300</v>
      </c>
    </row>
    <row r="33" spans="1:17" x14ac:dyDescent="0.4">
      <c r="A33" s="4" t="s">
        <v>10</v>
      </c>
      <c r="B33" s="3">
        <v>1000</v>
      </c>
      <c r="C33" s="3">
        <v>1500</v>
      </c>
      <c r="D33" s="3">
        <v>2000</v>
      </c>
      <c r="E33" s="3">
        <v>2500</v>
      </c>
      <c r="F33" s="3">
        <v>1000</v>
      </c>
      <c r="G33" s="3">
        <v>1500</v>
      </c>
      <c r="H33" s="3">
        <v>2000</v>
      </c>
      <c r="I33" s="3">
        <v>2500</v>
      </c>
      <c r="J33" s="3">
        <v>1200</v>
      </c>
      <c r="K33" s="3">
        <v>1800</v>
      </c>
      <c r="L33" s="3">
        <v>2400</v>
      </c>
      <c r="M33" s="3">
        <v>3000</v>
      </c>
      <c r="N33" s="3">
        <v>1200</v>
      </c>
      <c r="O33" s="3">
        <v>1800</v>
      </c>
      <c r="P33" s="3">
        <v>2400</v>
      </c>
      <c r="Q33" s="3">
        <v>3000</v>
      </c>
    </row>
    <row r="34" spans="1:17" x14ac:dyDescent="0.4">
      <c r="A34" s="4" t="s">
        <v>5</v>
      </c>
      <c r="B34" s="3">
        <v>16000</v>
      </c>
      <c r="C34" s="3">
        <v>16000</v>
      </c>
      <c r="D34" s="3">
        <v>16000</v>
      </c>
      <c r="E34" s="3">
        <v>16000</v>
      </c>
      <c r="F34" s="3">
        <v>16000</v>
      </c>
      <c r="G34" s="3">
        <v>16000</v>
      </c>
      <c r="H34" s="3">
        <v>16000</v>
      </c>
      <c r="I34" s="3">
        <v>16000</v>
      </c>
      <c r="J34" s="3">
        <v>16000</v>
      </c>
      <c r="K34" s="3">
        <v>16000</v>
      </c>
      <c r="L34" s="3">
        <v>16000</v>
      </c>
      <c r="M34" s="3">
        <v>16000</v>
      </c>
      <c r="N34" s="3">
        <v>16000</v>
      </c>
      <c r="O34" s="3">
        <v>16000</v>
      </c>
      <c r="P34" s="3">
        <v>16000</v>
      </c>
      <c r="Q34" s="3">
        <v>16000</v>
      </c>
    </row>
    <row r="35" spans="1:17" x14ac:dyDescent="0.4">
      <c r="A35" s="5" t="s">
        <v>16</v>
      </c>
      <c r="B35" s="3">
        <f t="shared" ref="B35:Q35" si="12">SUM(B32:B34)</f>
        <v>24100</v>
      </c>
      <c r="C35" s="3">
        <f t="shared" si="12"/>
        <v>24600</v>
      </c>
      <c r="D35" s="3">
        <f t="shared" si="12"/>
        <v>25100</v>
      </c>
      <c r="E35" s="3">
        <f t="shared" si="12"/>
        <v>25600</v>
      </c>
      <c r="F35" s="3">
        <f t="shared" si="12"/>
        <v>33500</v>
      </c>
      <c r="G35" s="3">
        <f t="shared" si="12"/>
        <v>34000</v>
      </c>
      <c r="H35" s="3">
        <f t="shared" si="12"/>
        <v>34500</v>
      </c>
      <c r="I35" s="3">
        <f t="shared" si="12"/>
        <v>35000</v>
      </c>
      <c r="J35" s="3">
        <f t="shared" si="12"/>
        <v>42600</v>
      </c>
      <c r="K35" s="3">
        <f t="shared" si="12"/>
        <v>43200</v>
      </c>
      <c r="L35" s="3">
        <f t="shared" si="12"/>
        <v>43800</v>
      </c>
      <c r="M35" s="3">
        <f t="shared" si="12"/>
        <v>44400</v>
      </c>
      <c r="N35" s="3">
        <f t="shared" si="12"/>
        <v>61500</v>
      </c>
      <c r="O35" s="3">
        <f t="shared" si="12"/>
        <v>62100</v>
      </c>
      <c r="P35" s="3">
        <f t="shared" si="12"/>
        <v>62700</v>
      </c>
      <c r="Q35" s="3">
        <f t="shared" si="12"/>
        <v>63300</v>
      </c>
    </row>
    <row r="36" spans="1:17" x14ac:dyDescent="0.4">
      <c r="A36" s="4" t="s">
        <v>6</v>
      </c>
      <c r="B36" s="3">
        <f t="shared" ref="B36:Q36" si="13">B35*0.07</f>
        <v>1687.0000000000002</v>
      </c>
      <c r="C36" s="3">
        <f t="shared" si="13"/>
        <v>1722.0000000000002</v>
      </c>
      <c r="D36" s="3">
        <f t="shared" si="13"/>
        <v>1757.0000000000002</v>
      </c>
      <c r="E36" s="3">
        <f t="shared" si="13"/>
        <v>1792.0000000000002</v>
      </c>
      <c r="F36" s="3">
        <f t="shared" si="13"/>
        <v>2345</v>
      </c>
      <c r="G36" s="3">
        <f t="shared" si="13"/>
        <v>2380</v>
      </c>
      <c r="H36" s="3">
        <f t="shared" si="13"/>
        <v>2415.0000000000005</v>
      </c>
      <c r="I36" s="3">
        <f t="shared" si="13"/>
        <v>2450.0000000000005</v>
      </c>
      <c r="J36" s="3">
        <f t="shared" si="13"/>
        <v>2982.0000000000005</v>
      </c>
      <c r="K36" s="3">
        <f t="shared" si="13"/>
        <v>3024.0000000000005</v>
      </c>
      <c r="L36" s="3">
        <f t="shared" si="13"/>
        <v>3066.0000000000005</v>
      </c>
      <c r="M36" s="3">
        <f t="shared" si="13"/>
        <v>3108.0000000000005</v>
      </c>
      <c r="N36" s="3">
        <f t="shared" si="13"/>
        <v>4305</v>
      </c>
      <c r="O36" s="3">
        <f t="shared" si="13"/>
        <v>4347</v>
      </c>
      <c r="P36" s="3">
        <f t="shared" si="13"/>
        <v>4389</v>
      </c>
      <c r="Q36" s="3">
        <f t="shared" si="13"/>
        <v>4431</v>
      </c>
    </row>
    <row r="37" spans="1:17" x14ac:dyDescent="0.4">
      <c r="A37" s="4" t="s">
        <v>7</v>
      </c>
      <c r="B37" s="3">
        <f t="shared" ref="B37:Q37" si="14">B35+B36</f>
        <v>25787</v>
      </c>
      <c r="C37" s="3">
        <f t="shared" si="14"/>
        <v>26322</v>
      </c>
      <c r="D37" s="3">
        <f t="shared" si="14"/>
        <v>26857</v>
      </c>
      <c r="E37" s="3">
        <f t="shared" si="14"/>
        <v>27392</v>
      </c>
      <c r="F37" s="3">
        <f t="shared" si="14"/>
        <v>35845</v>
      </c>
      <c r="G37" s="3">
        <f t="shared" si="14"/>
        <v>36380</v>
      </c>
      <c r="H37" s="3">
        <f t="shared" si="14"/>
        <v>36915</v>
      </c>
      <c r="I37" s="3">
        <f t="shared" si="14"/>
        <v>37450</v>
      </c>
      <c r="J37" s="3">
        <f t="shared" si="14"/>
        <v>45582</v>
      </c>
      <c r="K37" s="3">
        <f t="shared" si="14"/>
        <v>46224</v>
      </c>
      <c r="L37" s="3">
        <f t="shared" si="14"/>
        <v>46866</v>
      </c>
      <c r="M37" s="3">
        <f t="shared" si="14"/>
        <v>47508</v>
      </c>
      <c r="N37" s="3">
        <f t="shared" si="14"/>
        <v>65805</v>
      </c>
      <c r="O37" s="3">
        <f t="shared" si="14"/>
        <v>66447</v>
      </c>
      <c r="P37" s="3">
        <f t="shared" si="14"/>
        <v>67089</v>
      </c>
      <c r="Q37" s="3">
        <f t="shared" si="14"/>
        <v>67731</v>
      </c>
    </row>
  </sheetData>
  <mergeCells count="5">
    <mergeCell ref="B2:E2"/>
    <mergeCell ref="F2:I2"/>
    <mergeCell ref="J2:M2"/>
    <mergeCell ref="N2:Q2"/>
    <mergeCell ref="A1:Q1"/>
  </mergeCells>
  <pageMargins left="0.39370078740157483" right="0" top="0.31496062992125984" bottom="0.11811023622047245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tabSelected="1" view="pageBreakPreview" topLeftCell="C1" zoomScale="68" zoomScaleNormal="100" zoomScaleSheetLayoutView="68" workbookViewId="0">
      <selection activeCell="D9" sqref="D9"/>
    </sheetView>
  </sheetViews>
  <sheetFormatPr defaultRowHeight="13.8" x14ac:dyDescent="0.25"/>
  <cols>
    <col min="1" max="1" width="17.69921875" customWidth="1"/>
    <col min="2" max="2" width="9.59765625" customWidth="1"/>
    <col min="3" max="3" width="9.5" customWidth="1"/>
    <col min="4" max="4" width="10.59765625" customWidth="1"/>
    <col min="5" max="5" width="12.69921875" customWidth="1"/>
    <col min="6" max="6" width="9.59765625" customWidth="1"/>
    <col min="7" max="7" width="9.5" customWidth="1"/>
    <col min="8" max="8" width="10.59765625" customWidth="1"/>
    <col min="9" max="9" width="12.59765625" customWidth="1"/>
    <col min="10" max="11" width="9.5" customWidth="1"/>
    <col min="12" max="12" width="10.59765625" customWidth="1"/>
    <col min="13" max="13" width="12.59765625" customWidth="1"/>
    <col min="14" max="15" width="9.5" customWidth="1"/>
    <col min="16" max="16" width="10.59765625" customWidth="1"/>
    <col min="17" max="17" width="12.59765625" customWidth="1"/>
  </cols>
  <sheetData>
    <row r="1" spans="1:18" ht="25.8" x14ac:dyDescent="0.5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8" ht="23.4" x14ac:dyDescent="0.45">
      <c r="A2" s="1" t="s">
        <v>12</v>
      </c>
      <c r="B2" s="12" t="s">
        <v>0</v>
      </c>
      <c r="C2" s="12"/>
      <c r="D2" s="12"/>
      <c r="E2" s="12"/>
      <c r="F2" s="12" t="s">
        <v>1</v>
      </c>
      <c r="G2" s="12"/>
      <c r="H2" s="12"/>
      <c r="I2" s="12"/>
      <c r="J2" s="12" t="s">
        <v>2</v>
      </c>
      <c r="K2" s="12"/>
      <c r="L2" s="12"/>
      <c r="M2" s="12"/>
      <c r="N2" s="12" t="s">
        <v>3</v>
      </c>
      <c r="O2" s="12"/>
      <c r="P2" s="12"/>
      <c r="Q2" s="14"/>
    </row>
    <row r="3" spans="1:18" ht="21" x14ac:dyDescent="0.4">
      <c r="A3" s="2"/>
      <c r="B3" s="3" t="s">
        <v>11</v>
      </c>
      <c r="C3" s="3" t="s">
        <v>17</v>
      </c>
      <c r="D3" s="3" t="s">
        <v>13</v>
      </c>
      <c r="E3" s="3" t="s">
        <v>14</v>
      </c>
      <c r="F3" s="3" t="s">
        <v>11</v>
      </c>
      <c r="G3" s="3" t="s">
        <v>17</v>
      </c>
      <c r="H3" s="3" t="s">
        <v>13</v>
      </c>
      <c r="I3" s="3" t="s">
        <v>14</v>
      </c>
      <c r="J3" s="3" t="s">
        <v>11</v>
      </c>
      <c r="K3" s="3" t="s">
        <v>17</v>
      </c>
      <c r="L3" s="3" t="s">
        <v>13</v>
      </c>
      <c r="M3" s="3" t="s">
        <v>14</v>
      </c>
      <c r="N3" s="3" t="s">
        <v>11</v>
      </c>
      <c r="O3" s="3" t="s">
        <v>17</v>
      </c>
      <c r="P3" s="7" t="s">
        <v>13</v>
      </c>
      <c r="Q3" s="3" t="s">
        <v>14</v>
      </c>
      <c r="R3" s="8"/>
    </row>
    <row r="4" spans="1:18" ht="21" x14ac:dyDescent="0.4">
      <c r="A4" s="4" t="s">
        <v>4</v>
      </c>
      <c r="B4" s="3">
        <v>3000</v>
      </c>
      <c r="C4" s="3">
        <v>3000</v>
      </c>
      <c r="D4" s="3">
        <v>3000</v>
      </c>
      <c r="E4" s="3">
        <v>3000</v>
      </c>
      <c r="F4" s="3">
        <v>6800</v>
      </c>
      <c r="G4" s="3">
        <v>6800</v>
      </c>
      <c r="H4" s="3">
        <v>6800</v>
      </c>
      <c r="I4" s="3">
        <v>6800</v>
      </c>
      <c r="J4" s="3">
        <v>10600</v>
      </c>
      <c r="K4" s="3">
        <v>10600</v>
      </c>
      <c r="L4" s="3">
        <v>10600</v>
      </c>
      <c r="M4" s="3">
        <v>10600</v>
      </c>
      <c r="N4" s="3">
        <v>18400</v>
      </c>
      <c r="O4" s="3">
        <v>18400</v>
      </c>
      <c r="P4" s="3">
        <v>18400</v>
      </c>
      <c r="Q4" s="9">
        <v>18400</v>
      </c>
    </row>
    <row r="5" spans="1:18" ht="21" x14ac:dyDescent="0.4">
      <c r="A5" s="4" t="s">
        <v>10</v>
      </c>
      <c r="B5" s="3">
        <v>1000</v>
      </c>
      <c r="C5" s="3">
        <v>1500</v>
      </c>
      <c r="D5" s="3">
        <v>2000</v>
      </c>
      <c r="E5" s="3">
        <v>2500</v>
      </c>
      <c r="F5" s="3">
        <v>1000</v>
      </c>
      <c r="G5" s="3">
        <v>1500</v>
      </c>
      <c r="H5" s="3">
        <v>2000</v>
      </c>
      <c r="I5" s="3">
        <v>2500</v>
      </c>
      <c r="J5" s="3">
        <v>1200</v>
      </c>
      <c r="K5" s="3">
        <v>1800</v>
      </c>
      <c r="L5" s="3">
        <v>2400</v>
      </c>
      <c r="M5" s="3">
        <v>3000</v>
      </c>
      <c r="N5" s="3">
        <v>1200</v>
      </c>
      <c r="O5" s="3">
        <v>1800</v>
      </c>
      <c r="P5" s="3">
        <v>2400</v>
      </c>
      <c r="Q5" s="3">
        <v>3000</v>
      </c>
    </row>
    <row r="6" spans="1:18" ht="21" x14ac:dyDescent="0.4">
      <c r="A6" s="4" t="s">
        <v>5</v>
      </c>
      <c r="B6" s="3">
        <v>3200</v>
      </c>
      <c r="C6" s="3">
        <v>3200</v>
      </c>
      <c r="D6" s="3">
        <v>3200</v>
      </c>
      <c r="E6" s="3">
        <v>3200</v>
      </c>
      <c r="F6" s="3">
        <v>3200</v>
      </c>
      <c r="G6" s="3">
        <v>3200</v>
      </c>
      <c r="H6" s="3">
        <v>3200</v>
      </c>
      <c r="I6" s="3">
        <v>3200</v>
      </c>
      <c r="J6" s="3">
        <v>3200</v>
      </c>
      <c r="K6" s="3">
        <v>3200</v>
      </c>
      <c r="L6" s="3">
        <v>3200</v>
      </c>
      <c r="M6" s="3">
        <v>3200</v>
      </c>
      <c r="N6" s="3">
        <v>3200</v>
      </c>
      <c r="O6" s="3">
        <v>3200</v>
      </c>
      <c r="P6" s="3">
        <v>3200</v>
      </c>
      <c r="Q6" s="3">
        <v>3200</v>
      </c>
    </row>
    <row r="7" spans="1:18" ht="21" x14ac:dyDescent="0.4">
      <c r="A7" s="5" t="s">
        <v>16</v>
      </c>
      <c r="B7" s="3">
        <f t="shared" ref="B7:Q7" si="0">SUM(B4:B6)</f>
        <v>7200</v>
      </c>
      <c r="C7" s="3">
        <f t="shared" si="0"/>
        <v>7700</v>
      </c>
      <c r="D7" s="3">
        <f t="shared" si="0"/>
        <v>8200</v>
      </c>
      <c r="E7" s="3">
        <f t="shared" si="0"/>
        <v>8700</v>
      </c>
      <c r="F7" s="3">
        <f t="shared" si="0"/>
        <v>11000</v>
      </c>
      <c r="G7" s="3">
        <f t="shared" si="0"/>
        <v>11500</v>
      </c>
      <c r="H7" s="3">
        <f t="shared" si="0"/>
        <v>12000</v>
      </c>
      <c r="I7" s="3">
        <f t="shared" si="0"/>
        <v>12500</v>
      </c>
      <c r="J7" s="3">
        <f t="shared" si="0"/>
        <v>15000</v>
      </c>
      <c r="K7" s="3">
        <f t="shared" si="0"/>
        <v>15600</v>
      </c>
      <c r="L7" s="3">
        <f t="shared" si="0"/>
        <v>16200</v>
      </c>
      <c r="M7" s="3">
        <f t="shared" si="0"/>
        <v>16800</v>
      </c>
      <c r="N7" s="3">
        <f t="shared" si="0"/>
        <v>22800</v>
      </c>
      <c r="O7" s="3">
        <f t="shared" si="0"/>
        <v>23400</v>
      </c>
      <c r="P7" s="3">
        <f t="shared" si="0"/>
        <v>24000</v>
      </c>
      <c r="Q7" s="3">
        <f t="shared" si="0"/>
        <v>24600</v>
      </c>
    </row>
    <row r="8" spans="1:18" ht="21" x14ac:dyDescent="0.4">
      <c r="A8" s="4" t="s">
        <v>6</v>
      </c>
      <c r="B8" s="3">
        <f t="shared" ref="B8:Q8" si="1">B7*0.07</f>
        <v>504.00000000000006</v>
      </c>
      <c r="C8" s="3">
        <f t="shared" si="1"/>
        <v>539</v>
      </c>
      <c r="D8" s="3">
        <f t="shared" si="1"/>
        <v>574</v>
      </c>
      <c r="E8" s="3">
        <f t="shared" si="1"/>
        <v>609.00000000000011</v>
      </c>
      <c r="F8" s="3">
        <f t="shared" si="1"/>
        <v>770.00000000000011</v>
      </c>
      <c r="G8" s="3">
        <f t="shared" si="1"/>
        <v>805.00000000000011</v>
      </c>
      <c r="H8" s="3">
        <f t="shared" si="1"/>
        <v>840.00000000000011</v>
      </c>
      <c r="I8" s="3">
        <f t="shared" si="1"/>
        <v>875.00000000000011</v>
      </c>
      <c r="J8" s="3">
        <f t="shared" si="1"/>
        <v>1050</v>
      </c>
      <c r="K8" s="3">
        <f t="shared" si="1"/>
        <v>1092</v>
      </c>
      <c r="L8" s="3">
        <f t="shared" si="1"/>
        <v>1134</v>
      </c>
      <c r="M8" s="3">
        <f t="shared" si="1"/>
        <v>1176</v>
      </c>
      <c r="N8" s="3">
        <f t="shared" si="1"/>
        <v>1596.0000000000002</v>
      </c>
      <c r="O8" s="3">
        <f t="shared" si="1"/>
        <v>1638.0000000000002</v>
      </c>
      <c r="P8" s="3">
        <f t="shared" si="1"/>
        <v>1680.0000000000002</v>
      </c>
      <c r="Q8" s="3">
        <f t="shared" si="1"/>
        <v>1722.0000000000002</v>
      </c>
    </row>
    <row r="9" spans="1:18" ht="21" x14ac:dyDescent="0.4">
      <c r="A9" s="4" t="s">
        <v>7</v>
      </c>
      <c r="B9" s="3">
        <f t="shared" ref="B9:Q9" si="2">B7+B8</f>
        <v>7704</v>
      </c>
      <c r="C9" s="3">
        <f t="shared" si="2"/>
        <v>8239</v>
      </c>
      <c r="D9" s="3">
        <f t="shared" si="2"/>
        <v>8774</v>
      </c>
      <c r="E9" s="3">
        <f t="shared" si="2"/>
        <v>9309</v>
      </c>
      <c r="F9" s="3">
        <f t="shared" si="2"/>
        <v>11770</v>
      </c>
      <c r="G9" s="3">
        <f t="shared" si="2"/>
        <v>12305</v>
      </c>
      <c r="H9" s="3">
        <f t="shared" si="2"/>
        <v>12840</v>
      </c>
      <c r="I9" s="3">
        <f t="shared" si="2"/>
        <v>13375</v>
      </c>
      <c r="J9" s="3">
        <f t="shared" si="2"/>
        <v>16050</v>
      </c>
      <c r="K9" s="3">
        <f t="shared" si="2"/>
        <v>16692</v>
      </c>
      <c r="L9" s="3">
        <f t="shared" si="2"/>
        <v>17334</v>
      </c>
      <c r="M9" s="3">
        <f t="shared" si="2"/>
        <v>17976</v>
      </c>
      <c r="N9" s="3">
        <f t="shared" si="2"/>
        <v>24396</v>
      </c>
      <c r="O9" s="3">
        <f t="shared" si="2"/>
        <v>25038</v>
      </c>
      <c r="P9" s="3">
        <f t="shared" si="2"/>
        <v>25680</v>
      </c>
      <c r="Q9" s="3">
        <f t="shared" si="2"/>
        <v>26322</v>
      </c>
    </row>
    <row r="10" spans="1:18" ht="2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ht="21" x14ac:dyDescent="0.4">
      <c r="A11" s="4" t="s">
        <v>8</v>
      </c>
      <c r="B11" s="3">
        <v>5300</v>
      </c>
      <c r="C11" s="3">
        <v>5300</v>
      </c>
      <c r="D11" s="3">
        <v>5300</v>
      </c>
      <c r="E11" s="3">
        <v>5300</v>
      </c>
      <c r="F11" s="3">
        <v>12000</v>
      </c>
      <c r="G11" s="3">
        <v>12000</v>
      </c>
      <c r="H11" s="3">
        <v>12000</v>
      </c>
      <c r="I11" s="3">
        <v>12000</v>
      </c>
      <c r="J11" s="3">
        <v>18700</v>
      </c>
      <c r="K11" s="3">
        <v>18700</v>
      </c>
      <c r="L11" s="3">
        <v>18700</v>
      </c>
      <c r="M11" s="3">
        <v>18700</v>
      </c>
      <c r="N11" s="3">
        <v>32400</v>
      </c>
      <c r="O11" s="3">
        <v>32400</v>
      </c>
      <c r="P11" s="3">
        <v>32400</v>
      </c>
      <c r="Q11" s="3">
        <v>32400</v>
      </c>
    </row>
    <row r="12" spans="1:18" ht="21" x14ac:dyDescent="0.4">
      <c r="A12" s="4" t="s">
        <v>10</v>
      </c>
      <c r="B12" s="3">
        <v>1000</v>
      </c>
      <c r="C12" s="3">
        <v>1500</v>
      </c>
      <c r="D12" s="3">
        <v>2000</v>
      </c>
      <c r="E12" s="3">
        <v>2500</v>
      </c>
      <c r="F12" s="3">
        <v>1000</v>
      </c>
      <c r="G12" s="3">
        <v>1500</v>
      </c>
      <c r="H12" s="3">
        <v>2000</v>
      </c>
      <c r="I12" s="3">
        <v>2500</v>
      </c>
      <c r="J12" s="3">
        <v>1200</v>
      </c>
      <c r="K12" s="3">
        <v>1800</v>
      </c>
      <c r="L12" s="3">
        <v>2400</v>
      </c>
      <c r="M12" s="3">
        <v>3000</v>
      </c>
      <c r="N12" s="3">
        <v>1200</v>
      </c>
      <c r="O12" s="3">
        <v>1800</v>
      </c>
      <c r="P12" s="3">
        <v>2400</v>
      </c>
      <c r="Q12" s="3">
        <v>3000</v>
      </c>
    </row>
    <row r="13" spans="1:18" ht="21" x14ac:dyDescent="0.4">
      <c r="A13" s="4" t="s">
        <v>5</v>
      </c>
      <c r="B13" s="3">
        <v>6400</v>
      </c>
      <c r="C13" s="3">
        <v>6400</v>
      </c>
      <c r="D13" s="3">
        <v>6400</v>
      </c>
      <c r="E13" s="3">
        <v>6400</v>
      </c>
      <c r="F13" s="3">
        <v>6400</v>
      </c>
      <c r="G13" s="3">
        <v>6400</v>
      </c>
      <c r="H13" s="3">
        <v>6400</v>
      </c>
      <c r="I13" s="3">
        <v>6400</v>
      </c>
      <c r="J13" s="3">
        <v>6400</v>
      </c>
      <c r="K13" s="3">
        <v>6400</v>
      </c>
      <c r="L13" s="3">
        <v>6400</v>
      </c>
      <c r="M13" s="3">
        <v>6400</v>
      </c>
      <c r="N13" s="3">
        <v>6400</v>
      </c>
      <c r="O13" s="3">
        <v>6400</v>
      </c>
      <c r="P13" s="3">
        <v>6400</v>
      </c>
      <c r="Q13" s="3">
        <v>6400</v>
      </c>
    </row>
    <row r="14" spans="1:18" ht="21" x14ac:dyDescent="0.4">
      <c r="A14" s="5" t="s">
        <v>16</v>
      </c>
      <c r="B14" s="3">
        <f t="shared" ref="B14:Q14" si="3">SUM(B11:B13)</f>
        <v>12700</v>
      </c>
      <c r="C14" s="3">
        <f t="shared" si="3"/>
        <v>13200</v>
      </c>
      <c r="D14" s="3">
        <f t="shared" si="3"/>
        <v>13700</v>
      </c>
      <c r="E14" s="3">
        <f t="shared" si="3"/>
        <v>14200</v>
      </c>
      <c r="F14" s="3">
        <f t="shared" si="3"/>
        <v>19400</v>
      </c>
      <c r="G14" s="3">
        <f t="shared" si="3"/>
        <v>19900</v>
      </c>
      <c r="H14" s="3">
        <f t="shared" si="3"/>
        <v>20400</v>
      </c>
      <c r="I14" s="3">
        <f t="shared" si="3"/>
        <v>20900</v>
      </c>
      <c r="J14" s="3">
        <f t="shared" si="3"/>
        <v>26300</v>
      </c>
      <c r="K14" s="3">
        <f t="shared" si="3"/>
        <v>26900</v>
      </c>
      <c r="L14" s="3">
        <f t="shared" si="3"/>
        <v>27500</v>
      </c>
      <c r="M14" s="3">
        <f t="shared" si="3"/>
        <v>28100</v>
      </c>
      <c r="N14" s="3">
        <f t="shared" si="3"/>
        <v>40000</v>
      </c>
      <c r="O14" s="3">
        <f t="shared" si="3"/>
        <v>40600</v>
      </c>
      <c r="P14" s="3">
        <f t="shared" si="3"/>
        <v>41200</v>
      </c>
      <c r="Q14" s="3">
        <f t="shared" si="3"/>
        <v>41800</v>
      </c>
    </row>
    <row r="15" spans="1:18" ht="21" x14ac:dyDescent="0.4">
      <c r="A15" s="4" t="s">
        <v>6</v>
      </c>
      <c r="B15" s="3">
        <f t="shared" ref="B15:Q15" si="4">B14*0.07</f>
        <v>889.00000000000011</v>
      </c>
      <c r="C15" s="3">
        <f t="shared" si="4"/>
        <v>924.00000000000011</v>
      </c>
      <c r="D15" s="3">
        <f t="shared" si="4"/>
        <v>959.00000000000011</v>
      </c>
      <c r="E15" s="3">
        <f t="shared" si="4"/>
        <v>994.00000000000011</v>
      </c>
      <c r="F15" s="3">
        <f t="shared" si="4"/>
        <v>1358.0000000000002</v>
      </c>
      <c r="G15" s="3">
        <f t="shared" si="4"/>
        <v>1393.0000000000002</v>
      </c>
      <c r="H15" s="3">
        <f t="shared" si="4"/>
        <v>1428.0000000000002</v>
      </c>
      <c r="I15" s="3">
        <f t="shared" si="4"/>
        <v>1463.0000000000002</v>
      </c>
      <c r="J15" s="3">
        <f t="shared" si="4"/>
        <v>1841.0000000000002</v>
      </c>
      <c r="K15" s="3">
        <f t="shared" si="4"/>
        <v>1883.0000000000002</v>
      </c>
      <c r="L15" s="3">
        <f t="shared" si="4"/>
        <v>1925.0000000000002</v>
      </c>
      <c r="M15" s="3">
        <f t="shared" si="4"/>
        <v>1967.0000000000002</v>
      </c>
      <c r="N15" s="3">
        <f t="shared" si="4"/>
        <v>2800.0000000000005</v>
      </c>
      <c r="O15" s="3">
        <f t="shared" si="4"/>
        <v>2842.0000000000005</v>
      </c>
      <c r="P15" s="3">
        <f t="shared" si="4"/>
        <v>2884.0000000000005</v>
      </c>
      <c r="Q15" s="3">
        <f t="shared" si="4"/>
        <v>2926.0000000000005</v>
      </c>
    </row>
    <row r="16" spans="1:18" ht="21" x14ac:dyDescent="0.4">
      <c r="A16" s="4" t="s">
        <v>7</v>
      </c>
      <c r="B16" s="3">
        <f t="shared" ref="B16:Q16" si="5">B14+B15</f>
        <v>13589</v>
      </c>
      <c r="C16" s="3">
        <f t="shared" si="5"/>
        <v>14124</v>
      </c>
      <c r="D16" s="3">
        <f t="shared" si="5"/>
        <v>14659</v>
      </c>
      <c r="E16" s="3">
        <f t="shared" si="5"/>
        <v>15194</v>
      </c>
      <c r="F16" s="3">
        <f t="shared" si="5"/>
        <v>20758</v>
      </c>
      <c r="G16" s="3">
        <f t="shared" si="5"/>
        <v>21293</v>
      </c>
      <c r="H16" s="3">
        <f t="shared" si="5"/>
        <v>21828</v>
      </c>
      <c r="I16" s="3">
        <f t="shared" si="5"/>
        <v>22363</v>
      </c>
      <c r="J16" s="3">
        <f t="shared" si="5"/>
        <v>28141</v>
      </c>
      <c r="K16" s="3">
        <f t="shared" si="5"/>
        <v>28783</v>
      </c>
      <c r="L16" s="3">
        <f t="shared" si="5"/>
        <v>29425</v>
      </c>
      <c r="M16" s="3">
        <f t="shared" si="5"/>
        <v>30067</v>
      </c>
      <c r="N16" s="3">
        <f t="shared" si="5"/>
        <v>42800</v>
      </c>
      <c r="O16" s="3">
        <f t="shared" si="5"/>
        <v>43442</v>
      </c>
      <c r="P16" s="3">
        <f t="shared" si="5"/>
        <v>44084</v>
      </c>
      <c r="Q16" s="3">
        <f t="shared" si="5"/>
        <v>44726</v>
      </c>
    </row>
    <row r="17" spans="1:17" ht="21" x14ac:dyDescent="0.4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12</v>
      </c>
      <c r="M17" s="2"/>
      <c r="N17" s="2"/>
      <c r="O17" s="2"/>
      <c r="P17" s="2"/>
      <c r="Q17" s="2"/>
    </row>
    <row r="18" spans="1:17" ht="21" x14ac:dyDescent="0.4">
      <c r="A18" s="4" t="s">
        <v>9</v>
      </c>
      <c r="B18" s="3">
        <v>7100</v>
      </c>
      <c r="C18" s="3">
        <v>7100</v>
      </c>
      <c r="D18" s="3">
        <v>7100</v>
      </c>
      <c r="E18" s="3">
        <v>7100</v>
      </c>
      <c r="F18" s="3">
        <v>16200</v>
      </c>
      <c r="G18" s="3">
        <v>16200</v>
      </c>
      <c r="H18" s="3">
        <v>16200</v>
      </c>
      <c r="I18" s="3">
        <v>16200</v>
      </c>
      <c r="J18" s="3">
        <v>25200</v>
      </c>
      <c r="K18" s="3">
        <v>25200</v>
      </c>
      <c r="L18" s="3">
        <v>25200</v>
      </c>
      <c r="M18" s="3">
        <v>25200</v>
      </c>
      <c r="N18" s="3">
        <v>43600</v>
      </c>
      <c r="O18" s="3">
        <v>43600</v>
      </c>
      <c r="P18" s="3">
        <v>43600</v>
      </c>
      <c r="Q18" s="3">
        <v>43600</v>
      </c>
    </row>
    <row r="19" spans="1:17" ht="21" x14ac:dyDescent="0.4">
      <c r="A19" s="4" t="s">
        <v>10</v>
      </c>
      <c r="B19" s="3">
        <v>1000</v>
      </c>
      <c r="C19" s="3">
        <v>1500</v>
      </c>
      <c r="D19" s="3">
        <v>2000</v>
      </c>
      <c r="E19" s="3">
        <v>2500</v>
      </c>
      <c r="F19" s="3">
        <v>1000</v>
      </c>
      <c r="G19" s="3">
        <v>1500</v>
      </c>
      <c r="H19" s="3">
        <v>2000</v>
      </c>
      <c r="I19" s="3">
        <v>2500</v>
      </c>
      <c r="J19" s="3">
        <v>1200</v>
      </c>
      <c r="K19" s="3">
        <v>1800</v>
      </c>
      <c r="L19" s="3">
        <v>2400</v>
      </c>
      <c r="M19" s="3">
        <v>3000</v>
      </c>
      <c r="N19" s="3">
        <v>1200</v>
      </c>
      <c r="O19" s="3">
        <v>1800</v>
      </c>
      <c r="P19" s="3">
        <v>2400</v>
      </c>
      <c r="Q19" s="3">
        <v>3000</v>
      </c>
    </row>
    <row r="20" spans="1:17" ht="21" x14ac:dyDescent="0.4">
      <c r="A20" s="4" t="s">
        <v>5</v>
      </c>
      <c r="B20" s="3">
        <v>9600</v>
      </c>
      <c r="C20" s="3">
        <v>9600</v>
      </c>
      <c r="D20" s="3">
        <v>9600</v>
      </c>
      <c r="E20" s="3">
        <v>9600</v>
      </c>
      <c r="F20" s="3">
        <v>9600</v>
      </c>
      <c r="G20" s="3">
        <v>9600</v>
      </c>
      <c r="H20" s="3">
        <v>9600</v>
      </c>
      <c r="I20" s="3">
        <v>9600</v>
      </c>
      <c r="J20" s="3">
        <v>9600</v>
      </c>
      <c r="K20" s="3">
        <v>9600</v>
      </c>
      <c r="L20" s="3">
        <v>9600</v>
      </c>
      <c r="M20" s="3">
        <v>9600</v>
      </c>
      <c r="N20" s="3">
        <v>9600</v>
      </c>
      <c r="O20" s="3">
        <v>9600</v>
      </c>
      <c r="P20" s="3">
        <v>9600</v>
      </c>
      <c r="Q20" s="3">
        <v>9600</v>
      </c>
    </row>
    <row r="21" spans="1:17" ht="21" x14ac:dyDescent="0.4">
      <c r="A21" s="5" t="s">
        <v>16</v>
      </c>
      <c r="B21" s="3">
        <f t="shared" ref="B21:Q21" si="6">SUM(B18:B20)</f>
        <v>17700</v>
      </c>
      <c r="C21" s="3">
        <f t="shared" si="6"/>
        <v>18200</v>
      </c>
      <c r="D21" s="3">
        <f t="shared" si="6"/>
        <v>18700</v>
      </c>
      <c r="E21" s="3">
        <f t="shared" si="6"/>
        <v>19200</v>
      </c>
      <c r="F21" s="3">
        <f t="shared" si="6"/>
        <v>26800</v>
      </c>
      <c r="G21" s="3">
        <f t="shared" si="6"/>
        <v>27300</v>
      </c>
      <c r="H21" s="3">
        <f t="shared" si="6"/>
        <v>27800</v>
      </c>
      <c r="I21" s="3">
        <f t="shared" si="6"/>
        <v>28300</v>
      </c>
      <c r="J21" s="3">
        <f t="shared" si="6"/>
        <v>36000</v>
      </c>
      <c r="K21" s="3">
        <f t="shared" si="6"/>
        <v>36600</v>
      </c>
      <c r="L21" s="3">
        <f t="shared" si="6"/>
        <v>37200</v>
      </c>
      <c r="M21" s="3">
        <f t="shared" si="6"/>
        <v>37800</v>
      </c>
      <c r="N21" s="3">
        <f t="shared" si="6"/>
        <v>54400</v>
      </c>
      <c r="O21" s="3">
        <f t="shared" si="6"/>
        <v>55000</v>
      </c>
      <c r="P21" s="3">
        <f t="shared" si="6"/>
        <v>55600</v>
      </c>
      <c r="Q21" s="3">
        <f t="shared" si="6"/>
        <v>56200</v>
      </c>
    </row>
    <row r="22" spans="1:17" ht="21" x14ac:dyDescent="0.4">
      <c r="A22" s="4" t="s">
        <v>6</v>
      </c>
      <c r="B22" s="3">
        <f t="shared" ref="B22:Q22" si="7">B21*0.07</f>
        <v>1239.0000000000002</v>
      </c>
      <c r="C22" s="3">
        <f t="shared" si="7"/>
        <v>1274.0000000000002</v>
      </c>
      <c r="D22" s="3">
        <f t="shared" si="7"/>
        <v>1309.0000000000002</v>
      </c>
      <c r="E22" s="3">
        <f t="shared" si="7"/>
        <v>1344.0000000000002</v>
      </c>
      <c r="F22" s="3">
        <f t="shared" si="7"/>
        <v>1876.0000000000002</v>
      </c>
      <c r="G22" s="3">
        <f t="shared" si="7"/>
        <v>1911.0000000000002</v>
      </c>
      <c r="H22" s="3">
        <f t="shared" si="7"/>
        <v>1946.0000000000002</v>
      </c>
      <c r="I22" s="3">
        <f t="shared" si="7"/>
        <v>1981.0000000000002</v>
      </c>
      <c r="J22" s="3">
        <f t="shared" si="7"/>
        <v>2520.0000000000005</v>
      </c>
      <c r="K22" s="3">
        <f t="shared" si="7"/>
        <v>2562.0000000000005</v>
      </c>
      <c r="L22" s="3">
        <f t="shared" si="7"/>
        <v>2604.0000000000005</v>
      </c>
      <c r="M22" s="3">
        <f t="shared" si="7"/>
        <v>2646.0000000000005</v>
      </c>
      <c r="N22" s="3">
        <f t="shared" si="7"/>
        <v>3808.0000000000005</v>
      </c>
      <c r="O22" s="3">
        <f t="shared" si="7"/>
        <v>3850.0000000000005</v>
      </c>
      <c r="P22" s="3">
        <f t="shared" si="7"/>
        <v>3892.0000000000005</v>
      </c>
      <c r="Q22" s="3">
        <f t="shared" si="7"/>
        <v>3934.0000000000005</v>
      </c>
    </row>
    <row r="23" spans="1:17" ht="21" x14ac:dyDescent="0.4">
      <c r="A23" s="4" t="s">
        <v>7</v>
      </c>
      <c r="B23" s="3">
        <f t="shared" ref="B23:Q23" si="8">B21+B22</f>
        <v>18939</v>
      </c>
      <c r="C23" s="3">
        <f t="shared" si="8"/>
        <v>19474</v>
      </c>
      <c r="D23" s="3">
        <f t="shared" si="8"/>
        <v>20009</v>
      </c>
      <c r="E23" s="3">
        <f t="shared" si="8"/>
        <v>20544</v>
      </c>
      <c r="F23" s="3">
        <f t="shared" si="8"/>
        <v>28676</v>
      </c>
      <c r="G23" s="3">
        <f t="shared" si="8"/>
        <v>29211</v>
      </c>
      <c r="H23" s="3">
        <f t="shared" si="8"/>
        <v>29746</v>
      </c>
      <c r="I23" s="3">
        <f t="shared" si="8"/>
        <v>30281</v>
      </c>
      <c r="J23" s="3">
        <f t="shared" si="8"/>
        <v>38520</v>
      </c>
      <c r="K23" s="3">
        <f t="shared" si="8"/>
        <v>39162</v>
      </c>
      <c r="L23" s="3">
        <f t="shared" si="8"/>
        <v>39804</v>
      </c>
      <c r="M23" s="3">
        <f t="shared" si="8"/>
        <v>40446</v>
      </c>
      <c r="N23" s="3">
        <f t="shared" si="8"/>
        <v>58208</v>
      </c>
      <c r="O23" s="3">
        <f t="shared" si="8"/>
        <v>58850</v>
      </c>
      <c r="P23" s="3">
        <f t="shared" si="8"/>
        <v>59492</v>
      </c>
      <c r="Q23" s="3">
        <f t="shared" si="8"/>
        <v>60134</v>
      </c>
    </row>
    <row r="24" spans="1:17" ht="21" customHeight="1" x14ac:dyDescent="0.25"/>
    <row r="25" spans="1:17" ht="21" x14ac:dyDescent="0.4">
      <c r="A25" s="4" t="s">
        <v>19</v>
      </c>
      <c r="B25" s="3">
        <v>8900</v>
      </c>
      <c r="C25" s="3">
        <v>8900</v>
      </c>
      <c r="D25" s="3">
        <v>8900</v>
      </c>
      <c r="E25" s="3">
        <v>8900</v>
      </c>
      <c r="F25" s="3">
        <v>20400</v>
      </c>
      <c r="G25" s="3">
        <v>20400</v>
      </c>
      <c r="H25" s="3">
        <v>20400</v>
      </c>
      <c r="I25" s="3">
        <v>20400</v>
      </c>
      <c r="J25" s="3">
        <v>31700</v>
      </c>
      <c r="K25" s="3">
        <v>31700</v>
      </c>
      <c r="L25" s="3">
        <v>31700</v>
      </c>
      <c r="M25" s="3">
        <v>31700</v>
      </c>
      <c r="N25" s="3">
        <v>54800</v>
      </c>
      <c r="O25" s="3">
        <v>54800</v>
      </c>
      <c r="P25" s="3">
        <v>54800</v>
      </c>
      <c r="Q25" s="3">
        <v>54800</v>
      </c>
    </row>
    <row r="26" spans="1:17" ht="21" x14ac:dyDescent="0.4">
      <c r="A26" s="4" t="s">
        <v>10</v>
      </c>
      <c r="B26" s="3">
        <v>1000</v>
      </c>
      <c r="C26" s="3">
        <v>1500</v>
      </c>
      <c r="D26" s="3">
        <v>2000</v>
      </c>
      <c r="E26" s="3">
        <v>2500</v>
      </c>
      <c r="F26" s="3">
        <v>1000</v>
      </c>
      <c r="G26" s="3">
        <v>1500</v>
      </c>
      <c r="H26" s="3">
        <v>2000</v>
      </c>
      <c r="I26" s="3">
        <v>2500</v>
      </c>
      <c r="J26" s="3">
        <v>1200</v>
      </c>
      <c r="K26" s="3">
        <v>1800</v>
      </c>
      <c r="L26" s="3">
        <v>2400</v>
      </c>
      <c r="M26" s="3">
        <v>3000</v>
      </c>
      <c r="N26" s="3">
        <v>1200</v>
      </c>
      <c r="O26" s="3">
        <v>1800</v>
      </c>
      <c r="P26" s="3">
        <v>2400</v>
      </c>
      <c r="Q26" s="3">
        <v>3000</v>
      </c>
    </row>
    <row r="27" spans="1:17" ht="21" x14ac:dyDescent="0.4">
      <c r="A27" s="4" t="s">
        <v>5</v>
      </c>
      <c r="B27" s="3">
        <v>12800</v>
      </c>
      <c r="C27" s="3">
        <v>12800</v>
      </c>
      <c r="D27" s="3">
        <v>12800</v>
      </c>
      <c r="E27" s="3">
        <v>12800</v>
      </c>
      <c r="F27" s="3">
        <v>12800</v>
      </c>
      <c r="G27" s="3">
        <v>12800</v>
      </c>
      <c r="H27" s="3">
        <v>12800</v>
      </c>
      <c r="I27" s="3">
        <v>12800</v>
      </c>
      <c r="J27" s="3">
        <v>12800</v>
      </c>
      <c r="K27" s="3">
        <v>12800</v>
      </c>
      <c r="L27" s="3">
        <v>12800</v>
      </c>
      <c r="M27" s="3">
        <v>12800</v>
      </c>
      <c r="N27" s="3">
        <v>12800</v>
      </c>
      <c r="O27" s="3">
        <v>12800</v>
      </c>
      <c r="P27" s="3">
        <v>12800</v>
      </c>
      <c r="Q27" s="3">
        <v>12800</v>
      </c>
    </row>
    <row r="28" spans="1:17" ht="21" x14ac:dyDescent="0.4">
      <c r="A28" s="5" t="s">
        <v>16</v>
      </c>
      <c r="B28" s="3">
        <f t="shared" ref="B28:Q28" si="9">SUM(B25:B27)</f>
        <v>22700</v>
      </c>
      <c r="C28" s="3">
        <f t="shared" si="9"/>
        <v>23200</v>
      </c>
      <c r="D28" s="3">
        <f t="shared" si="9"/>
        <v>23700</v>
      </c>
      <c r="E28" s="3">
        <f t="shared" si="9"/>
        <v>24200</v>
      </c>
      <c r="F28" s="3">
        <f t="shared" si="9"/>
        <v>34200</v>
      </c>
      <c r="G28" s="3">
        <f t="shared" si="9"/>
        <v>34700</v>
      </c>
      <c r="H28" s="3">
        <f t="shared" si="9"/>
        <v>35200</v>
      </c>
      <c r="I28" s="3">
        <f t="shared" si="9"/>
        <v>35700</v>
      </c>
      <c r="J28" s="3">
        <f t="shared" si="9"/>
        <v>45700</v>
      </c>
      <c r="K28" s="3">
        <f t="shared" si="9"/>
        <v>46300</v>
      </c>
      <c r="L28" s="3">
        <f t="shared" si="9"/>
        <v>46900</v>
      </c>
      <c r="M28" s="3">
        <f t="shared" si="9"/>
        <v>47500</v>
      </c>
      <c r="N28" s="3">
        <f t="shared" si="9"/>
        <v>68800</v>
      </c>
      <c r="O28" s="3">
        <f t="shared" si="9"/>
        <v>69400</v>
      </c>
      <c r="P28" s="3">
        <f t="shared" si="9"/>
        <v>70000</v>
      </c>
      <c r="Q28" s="3">
        <f t="shared" si="9"/>
        <v>70600</v>
      </c>
    </row>
    <row r="29" spans="1:17" ht="21" x14ac:dyDescent="0.4">
      <c r="A29" s="4" t="s">
        <v>6</v>
      </c>
      <c r="B29" s="3">
        <f t="shared" ref="B29:Q29" si="10">B28*0.07</f>
        <v>1589.0000000000002</v>
      </c>
      <c r="C29" s="3">
        <f t="shared" si="10"/>
        <v>1624.0000000000002</v>
      </c>
      <c r="D29" s="3">
        <f t="shared" si="10"/>
        <v>1659.0000000000002</v>
      </c>
      <c r="E29" s="3">
        <f t="shared" si="10"/>
        <v>1694.0000000000002</v>
      </c>
      <c r="F29" s="3">
        <f t="shared" si="10"/>
        <v>2394.0000000000005</v>
      </c>
      <c r="G29" s="3">
        <f t="shared" si="10"/>
        <v>2429.0000000000005</v>
      </c>
      <c r="H29" s="3">
        <f t="shared" si="10"/>
        <v>2464.0000000000005</v>
      </c>
      <c r="I29" s="3">
        <f t="shared" si="10"/>
        <v>2499.0000000000005</v>
      </c>
      <c r="J29" s="3">
        <f t="shared" si="10"/>
        <v>3199.0000000000005</v>
      </c>
      <c r="K29" s="3">
        <f t="shared" si="10"/>
        <v>3241.0000000000005</v>
      </c>
      <c r="L29" s="3">
        <f t="shared" si="10"/>
        <v>3283.0000000000005</v>
      </c>
      <c r="M29" s="3">
        <f t="shared" si="10"/>
        <v>3325.0000000000005</v>
      </c>
      <c r="N29" s="3">
        <f t="shared" si="10"/>
        <v>4816.0000000000009</v>
      </c>
      <c r="O29" s="3">
        <f t="shared" si="10"/>
        <v>4858.0000000000009</v>
      </c>
      <c r="P29" s="3">
        <f t="shared" si="10"/>
        <v>4900.0000000000009</v>
      </c>
      <c r="Q29" s="3">
        <f t="shared" si="10"/>
        <v>4942.0000000000009</v>
      </c>
    </row>
    <row r="30" spans="1:17" ht="21" x14ac:dyDescent="0.4">
      <c r="A30" s="4" t="s">
        <v>7</v>
      </c>
      <c r="B30" s="3">
        <f t="shared" ref="B30:Q30" si="11">B28+B29</f>
        <v>24289</v>
      </c>
      <c r="C30" s="3">
        <f t="shared" si="11"/>
        <v>24824</v>
      </c>
      <c r="D30" s="3">
        <f t="shared" si="11"/>
        <v>25359</v>
      </c>
      <c r="E30" s="3">
        <f t="shared" si="11"/>
        <v>25894</v>
      </c>
      <c r="F30" s="3">
        <f t="shared" si="11"/>
        <v>36594</v>
      </c>
      <c r="G30" s="3">
        <f t="shared" si="11"/>
        <v>37129</v>
      </c>
      <c r="H30" s="3">
        <f t="shared" si="11"/>
        <v>37664</v>
      </c>
      <c r="I30" s="3">
        <f t="shared" si="11"/>
        <v>38199</v>
      </c>
      <c r="J30" s="3">
        <f t="shared" si="11"/>
        <v>48899</v>
      </c>
      <c r="K30" s="3">
        <f t="shared" si="11"/>
        <v>49541</v>
      </c>
      <c r="L30" s="3">
        <f t="shared" si="11"/>
        <v>50183</v>
      </c>
      <c r="M30" s="3">
        <f t="shared" si="11"/>
        <v>50825</v>
      </c>
      <c r="N30" s="3">
        <f t="shared" si="11"/>
        <v>73616</v>
      </c>
      <c r="O30" s="3">
        <f t="shared" si="11"/>
        <v>74258</v>
      </c>
      <c r="P30" s="3">
        <f t="shared" si="11"/>
        <v>74900</v>
      </c>
      <c r="Q30" s="3">
        <f t="shared" si="11"/>
        <v>75542</v>
      </c>
    </row>
    <row r="31" spans="1:17" ht="21" customHeight="1" x14ac:dyDescent="0.25"/>
    <row r="32" spans="1:17" ht="21" x14ac:dyDescent="0.4">
      <c r="A32" s="4" t="s">
        <v>20</v>
      </c>
      <c r="B32" s="3">
        <v>10700</v>
      </c>
      <c r="C32" s="3">
        <v>10700</v>
      </c>
      <c r="D32" s="3">
        <v>10700</v>
      </c>
      <c r="E32" s="3">
        <v>10700</v>
      </c>
      <c r="F32" s="3">
        <v>24600</v>
      </c>
      <c r="G32" s="3">
        <v>24600</v>
      </c>
      <c r="H32" s="3">
        <v>24600</v>
      </c>
      <c r="I32" s="3">
        <v>24600</v>
      </c>
      <c r="J32" s="3">
        <v>25200</v>
      </c>
      <c r="K32" s="3">
        <v>25200</v>
      </c>
      <c r="L32" s="3">
        <v>25200</v>
      </c>
      <c r="M32" s="3">
        <v>25200</v>
      </c>
      <c r="N32" s="3">
        <v>66000</v>
      </c>
      <c r="O32" s="3">
        <v>66000</v>
      </c>
      <c r="P32" s="3">
        <v>66000</v>
      </c>
      <c r="Q32" s="3">
        <v>66000</v>
      </c>
    </row>
    <row r="33" spans="1:17" ht="21" x14ac:dyDescent="0.4">
      <c r="A33" s="4" t="s">
        <v>10</v>
      </c>
      <c r="B33" s="3">
        <v>1000</v>
      </c>
      <c r="C33" s="3">
        <v>1500</v>
      </c>
      <c r="D33" s="3">
        <v>2000</v>
      </c>
      <c r="E33" s="3">
        <v>2500</v>
      </c>
      <c r="F33" s="3">
        <v>1000</v>
      </c>
      <c r="G33" s="3">
        <v>1500</v>
      </c>
      <c r="H33" s="3">
        <v>2000</v>
      </c>
      <c r="I33" s="3">
        <v>2500</v>
      </c>
      <c r="J33" s="3">
        <v>1200</v>
      </c>
      <c r="K33" s="3">
        <v>1800</v>
      </c>
      <c r="L33" s="3">
        <v>2400</v>
      </c>
      <c r="M33" s="3">
        <v>3000</v>
      </c>
      <c r="N33" s="3">
        <v>1200</v>
      </c>
      <c r="O33" s="3">
        <v>1800</v>
      </c>
      <c r="P33" s="3">
        <v>2400</v>
      </c>
      <c r="Q33" s="3">
        <v>3000</v>
      </c>
    </row>
    <row r="34" spans="1:17" ht="21" x14ac:dyDescent="0.4">
      <c r="A34" s="4" t="s">
        <v>5</v>
      </c>
      <c r="B34" s="3">
        <v>16000</v>
      </c>
      <c r="C34" s="3">
        <v>16000</v>
      </c>
      <c r="D34" s="3">
        <v>16000</v>
      </c>
      <c r="E34" s="3">
        <v>16000</v>
      </c>
      <c r="F34" s="3">
        <v>16000</v>
      </c>
      <c r="G34" s="3">
        <v>16000</v>
      </c>
      <c r="H34" s="3">
        <v>16000</v>
      </c>
      <c r="I34" s="3">
        <v>16000</v>
      </c>
      <c r="J34" s="3">
        <v>16000</v>
      </c>
      <c r="K34" s="3">
        <v>16000</v>
      </c>
      <c r="L34" s="3">
        <v>16000</v>
      </c>
      <c r="M34" s="3">
        <v>16000</v>
      </c>
      <c r="N34" s="3">
        <v>16000</v>
      </c>
      <c r="O34" s="3">
        <v>16000</v>
      </c>
      <c r="P34" s="3">
        <v>16000</v>
      </c>
      <c r="Q34" s="3">
        <v>16000</v>
      </c>
    </row>
    <row r="35" spans="1:17" ht="21" x14ac:dyDescent="0.4">
      <c r="A35" s="5" t="s">
        <v>16</v>
      </c>
      <c r="B35" s="3">
        <f t="shared" ref="B35:Q35" si="12">SUM(B32:B34)</f>
        <v>27700</v>
      </c>
      <c r="C35" s="3">
        <f t="shared" si="12"/>
        <v>28200</v>
      </c>
      <c r="D35" s="3">
        <f t="shared" si="12"/>
        <v>28700</v>
      </c>
      <c r="E35" s="3">
        <f t="shared" si="12"/>
        <v>29200</v>
      </c>
      <c r="F35" s="3">
        <f t="shared" si="12"/>
        <v>41600</v>
      </c>
      <c r="G35" s="3">
        <f t="shared" si="12"/>
        <v>42100</v>
      </c>
      <c r="H35" s="3">
        <f t="shared" si="12"/>
        <v>42600</v>
      </c>
      <c r="I35" s="3">
        <f t="shared" si="12"/>
        <v>43100</v>
      </c>
      <c r="J35" s="3">
        <f t="shared" si="12"/>
        <v>42400</v>
      </c>
      <c r="K35" s="3">
        <f t="shared" si="12"/>
        <v>43000</v>
      </c>
      <c r="L35" s="3">
        <f t="shared" si="12"/>
        <v>43600</v>
      </c>
      <c r="M35" s="3">
        <f t="shared" si="12"/>
        <v>44200</v>
      </c>
      <c r="N35" s="3">
        <f t="shared" si="12"/>
        <v>83200</v>
      </c>
      <c r="O35" s="3">
        <f t="shared" si="12"/>
        <v>83800</v>
      </c>
      <c r="P35" s="3">
        <f t="shared" si="12"/>
        <v>84400</v>
      </c>
      <c r="Q35" s="3">
        <f t="shared" si="12"/>
        <v>85000</v>
      </c>
    </row>
    <row r="36" spans="1:17" ht="21" x14ac:dyDescent="0.4">
      <c r="A36" s="4" t="s">
        <v>6</v>
      </c>
      <c r="B36" s="3">
        <f t="shared" ref="B36:Q36" si="13">B35*0.07</f>
        <v>1939.0000000000002</v>
      </c>
      <c r="C36" s="3">
        <f t="shared" si="13"/>
        <v>1974.0000000000002</v>
      </c>
      <c r="D36" s="3">
        <f t="shared" si="13"/>
        <v>2009.0000000000002</v>
      </c>
      <c r="E36" s="3">
        <f t="shared" si="13"/>
        <v>2044.0000000000002</v>
      </c>
      <c r="F36" s="3">
        <f t="shared" si="13"/>
        <v>2912.0000000000005</v>
      </c>
      <c r="G36" s="3">
        <f t="shared" si="13"/>
        <v>2947.0000000000005</v>
      </c>
      <c r="H36" s="3">
        <f t="shared" si="13"/>
        <v>2982.0000000000005</v>
      </c>
      <c r="I36" s="3">
        <f t="shared" si="13"/>
        <v>3017.0000000000005</v>
      </c>
      <c r="J36" s="3">
        <f t="shared" si="13"/>
        <v>2968.0000000000005</v>
      </c>
      <c r="K36" s="3">
        <f t="shared" si="13"/>
        <v>3010.0000000000005</v>
      </c>
      <c r="L36" s="3">
        <f t="shared" si="13"/>
        <v>3052.0000000000005</v>
      </c>
      <c r="M36" s="3">
        <f t="shared" si="13"/>
        <v>3094.0000000000005</v>
      </c>
      <c r="N36" s="3">
        <f t="shared" si="13"/>
        <v>5824.0000000000009</v>
      </c>
      <c r="O36" s="3">
        <f t="shared" si="13"/>
        <v>5866.0000000000009</v>
      </c>
      <c r="P36" s="3">
        <f t="shared" si="13"/>
        <v>5908.0000000000009</v>
      </c>
      <c r="Q36" s="3">
        <f t="shared" si="13"/>
        <v>5950.0000000000009</v>
      </c>
    </row>
    <row r="37" spans="1:17" ht="21" x14ac:dyDescent="0.4">
      <c r="A37" s="4" t="s">
        <v>7</v>
      </c>
      <c r="B37" s="3">
        <f t="shared" ref="B37:Q37" si="14">B35+B36</f>
        <v>29639</v>
      </c>
      <c r="C37" s="3">
        <f t="shared" si="14"/>
        <v>30174</v>
      </c>
      <c r="D37" s="3">
        <f t="shared" si="14"/>
        <v>30709</v>
      </c>
      <c r="E37" s="3">
        <f t="shared" si="14"/>
        <v>31244</v>
      </c>
      <c r="F37" s="3">
        <f t="shared" si="14"/>
        <v>44512</v>
      </c>
      <c r="G37" s="3">
        <f t="shared" si="14"/>
        <v>45047</v>
      </c>
      <c r="H37" s="3">
        <f t="shared" si="14"/>
        <v>45582</v>
      </c>
      <c r="I37" s="3">
        <f t="shared" si="14"/>
        <v>46117</v>
      </c>
      <c r="J37" s="3">
        <f t="shared" si="14"/>
        <v>45368</v>
      </c>
      <c r="K37" s="3">
        <f t="shared" si="14"/>
        <v>46010</v>
      </c>
      <c r="L37" s="3">
        <f t="shared" si="14"/>
        <v>46652</v>
      </c>
      <c r="M37" s="3">
        <f t="shared" si="14"/>
        <v>47294</v>
      </c>
      <c r="N37" s="3">
        <f t="shared" si="14"/>
        <v>89024</v>
      </c>
      <c r="O37" s="3">
        <f t="shared" si="14"/>
        <v>89666</v>
      </c>
      <c r="P37" s="3">
        <f t="shared" si="14"/>
        <v>90308</v>
      </c>
      <c r="Q37" s="3">
        <f t="shared" si="14"/>
        <v>90950</v>
      </c>
    </row>
  </sheetData>
  <mergeCells count="5">
    <mergeCell ref="A1:Q1"/>
    <mergeCell ref="B2:E2"/>
    <mergeCell ref="F2:I2"/>
    <mergeCell ref="J2:M2"/>
    <mergeCell ref="N2:Q2"/>
  </mergeCells>
  <pageMargins left="0.39370078740157483" right="0" top="0.31496062992125984" bottom="0.11811023622047245" header="0.31496062992125984" footer="0.31496062992125984"/>
  <pageSetup paperSize="9" scale="70" orientation="landscape" r:id="rId1"/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CEB4-3774-4406-B97C-215F1B42A854}">
  <dimension ref="A1:Q39"/>
  <sheetViews>
    <sheetView view="pageBreakPreview" zoomScale="115" zoomScaleNormal="100" zoomScaleSheetLayoutView="115" workbookViewId="0">
      <pane xSplit="1" ySplit="3" topLeftCell="E4" activePane="bottomRight" state="frozen"/>
      <selection pane="topRight" activeCell="C1" sqref="C1"/>
      <selection pane="bottomLeft" activeCell="A4" sqref="A4"/>
      <selection pane="bottomRight" activeCell="A20" sqref="A20"/>
    </sheetView>
  </sheetViews>
  <sheetFormatPr defaultColWidth="8.69921875" defaultRowHeight="21" x14ac:dyDescent="0.4"/>
  <cols>
    <col min="1" max="1" width="17.59765625" style="1" customWidth="1"/>
    <col min="2" max="3" width="9.59765625" style="1" customWidth="1"/>
    <col min="4" max="4" width="10.59765625" style="1" customWidth="1"/>
    <col min="5" max="5" width="12.59765625" style="1" customWidth="1"/>
    <col min="6" max="7" width="9.59765625" style="1" customWidth="1"/>
    <col min="8" max="8" width="10.59765625" style="1" customWidth="1"/>
    <col min="9" max="9" width="12.59765625" style="1" customWidth="1"/>
    <col min="10" max="11" width="9.59765625" style="1" customWidth="1"/>
    <col min="12" max="12" width="10.59765625" style="1" customWidth="1"/>
    <col min="13" max="13" width="12.59765625" style="1" customWidth="1"/>
    <col min="14" max="15" width="9.59765625" style="1" customWidth="1"/>
    <col min="16" max="16" width="10.59765625" style="1" customWidth="1"/>
    <col min="17" max="17" width="12.8984375" style="1" customWidth="1"/>
    <col min="18" max="16384" width="8.69921875" style="1"/>
  </cols>
  <sheetData>
    <row r="1" spans="1:17" ht="25.8" x14ac:dyDescent="0.5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3.4" x14ac:dyDescent="0.45">
      <c r="A2" s="1" t="s">
        <v>12</v>
      </c>
      <c r="B2" s="12" t="s">
        <v>0</v>
      </c>
      <c r="C2" s="12"/>
      <c r="D2" s="12"/>
      <c r="E2" s="12"/>
      <c r="F2" s="12" t="s">
        <v>1</v>
      </c>
      <c r="G2" s="12"/>
      <c r="H2" s="12"/>
      <c r="I2" s="12"/>
      <c r="J2" s="15" t="s">
        <v>2</v>
      </c>
      <c r="K2" s="15"/>
      <c r="L2" s="15"/>
      <c r="M2" s="15"/>
      <c r="N2" s="12" t="s">
        <v>3</v>
      </c>
      <c r="O2" s="12"/>
      <c r="P2" s="12"/>
      <c r="Q2" s="12"/>
    </row>
    <row r="3" spans="1:17" s="2" customFormat="1" x14ac:dyDescent="0.4">
      <c r="B3" s="3" t="s">
        <v>11</v>
      </c>
      <c r="C3" s="3" t="s">
        <v>17</v>
      </c>
      <c r="D3" s="3" t="s">
        <v>13</v>
      </c>
      <c r="E3" s="3" t="s">
        <v>14</v>
      </c>
      <c r="F3" s="3" t="s">
        <v>11</v>
      </c>
      <c r="G3" s="3" t="s">
        <v>17</v>
      </c>
      <c r="H3" s="3" t="s">
        <v>13</v>
      </c>
      <c r="I3" s="3" t="s">
        <v>14</v>
      </c>
      <c r="J3" s="3" t="s">
        <v>11</v>
      </c>
      <c r="K3" s="3" t="s">
        <v>17</v>
      </c>
      <c r="L3" s="3" t="s">
        <v>13</v>
      </c>
      <c r="M3" s="3" t="s">
        <v>14</v>
      </c>
      <c r="N3" s="3" t="s">
        <v>11</v>
      </c>
      <c r="O3" s="3" t="s">
        <v>17</v>
      </c>
      <c r="P3" s="3" t="s">
        <v>13</v>
      </c>
      <c r="Q3" s="3" t="s">
        <v>14</v>
      </c>
    </row>
    <row r="4" spans="1:17" s="2" customFormat="1" x14ac:dyDescent="0.4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s="2" customFormat="1" x14ac:dyDescent="0.4">
      <c r="A5" s="4" t="s">
        <v>10</v>
      </c>
      <c r="B5" s="3">
        <v>1000</v>
      </c>
      <c r="C5" s="3">
        <v>1500</v>
      </c>
      <c r="D5" s="3">
        <v>2000</v>
      </c>
      <c r="E5" s="3">
        <v>2500</v>
      </c>
      <c r="F5" s="3">
        <v>1000</v>
      </c>
      <c r="G5" s="3">
        <v>1500</v>
      </c>
      <c r="H5" s="3">
        <v>2000</v>
      </c>
      <c r="I5" s="3">
        <v>2500</v>
      </c>
      <c r="J5" s="3">
        <v>1200</v>
      </c>
      <c r="K5" s="3">
        <v>1800</v>
      </c>
      <c r="L5" s="3">
        <v>2400</v>
      </c>
      <c r="M5" s="3">
        <v>3000</v>
      </c>
      <c r="N5" s="3">
        <v>1200</v>
      </c>
      <c r="O5" s="3">
        <v>1800</v>
      </c>
      <c r="P5" s="3">
        <v>2400</v>
      </c>
      <c r="Q5" s="3">
        <v>3000</v>
      </c>
    </row>
    <row r="6" spans="1:17" s="2" customFormat="1" x14ac:dyDescent="0.4">
      <c r="A6" s="4" t="s">
        <v>5</v>
      </c>
      <c r="B6" s="3">
        <v>3200</v>
      </c>
      <c r="C6" s="3">
        <v>3200</v>
      </c>
      <c r="D6" s="3">
        <v>3200</v>
      </c>
      <c r="E6" s="3">
        <v>3200</v>
      </c>
      <c r="F6" s="3">
        <v>3200</v>
      </c>
      <c r="G6" s="3">
        <v>3200</v>
      </c>
      <c r="H6" s="3">
        <v>3200</v>
      </c>
      <c r="I6" s="3">
        <v>3200</v>
      </c>
      <c r="J6" s="3">
        <v>3200</v>
      </c>
      <c r="K6" s="3">
        <v>3200</v>
      </c>
      <c r="L6" s="3">
        <v>3200</v>
      </c>
      <c r="M6" s="3">
        <v>3200</v>
      </c>
      <c r="N6" s="3">
        <v>3200</v>
      </c>
      <c r="O6" s="3">
        <v>3200</v>
      </c>
      <c r="P6" s="3">
        <v>3200</v>
      </c>
      <c r="Q6" s="3">
        <v>3200</v>
      </c>
    </row>
    <row r="7" spans="1:17" s="2" customFormat="1" x14ac:dyDescent="0.4">
      <c r="A7" s="5" t="s">
        <v>16</v>
      </c>
      <c r="B7" s="3">
        <f t="shared" ref="B7:Q7" si="0">SUM(B4:B6)</f>
        <v>4200</v>
      </c>
      <c r="C7" s="3">
        <f t="shared" si="0"/>
        <v>4700</v>
      </c>
      <c r="D7" s="3">
        <f t="shared" si="0"/>
        <v>5200</v>
      </c>
      <c r="E7" s="3">
        <f t="shared" si="0"/>
        <v>5700</v>
      </c>
      <c r="F7" s="3">
        <f t="shared" si="0"/>
        <v>4200</v>
      </c>
      <c r="G7" s="3">
        <f t="shared" si="0"/>
        <v>4700</v>
      </c>
      <c r="H7" s="3">
        <f t="shared" si="0"/>
        <v>5200</v>
      </c>
      <c r="I7" s="3">
        <f t="shared" si="0"/>
        <v>5700</v>
      </c>
      <c r="J7" s="3">
        <f t="shared" si="0"/>
        <v>4400</v>
      </c>
      <c r="K7" s="3">
        <f t="shared" si="0"/>
        <v>5000</v>
      </c>
      <c r="L7" s="3">
        <f t="shared" si="0"/>
        <v>5600</v>
      </c>
      <c r="M7" s="3">
        <f t="shared" si="0"/>
        <v>6200</v>
      </c>
      <c r="N7" s="3">
        <f t="shared" si="0"/>
        <v>4400</v>
      </c>
      <c r="O7" s="3">
        <f t="shared" si="0"/>
        <v>5000</v>
      </c>
      <c r="P7" s="3">
        <f t="shared" si="0"/>
        <v>5600</v>
      </c>
      <c r="Q7" s="3">
        <f t="shared" si="0"/>
        <v>6200</v>
      </c>
    </row>
    <row r="8" spans="1:17" s="2" customFormat="1" x14ac:dyDescent="0.4">
      <c r="A8" s="4" t="s">
        <v>6</v>
      </c>
      <c r="B8" s="3">
        <f t="shared" ref="B8:Q8" si="1">B7*0.07</f>
        <v>294</v>
      </c>
      <c r="C8" s="3">
        <f t="shared" si="1"/>
        <v>329.00000000000006</v>
      </c>
      <c r="D8" s="3">
        <f t="shared" si="1"/>
        <v>364.00000000000006</v>
      </c>
      <c r="E8" s="3">
        <f t="shared" si="1"/>
        <v>399.00000000000006</v>
      </c>
      <c r="F8" s="3">
        <f t="shared" si="1"/>
        <v>294</v>
      </c>
      <c r="G8" s="3">
        <f t="shared" si="1"/>
        <v>329.00000000000006</v>
      </c>
      <c r="H8" s="3">
        <f t="shared" si="1"/>
        <v>364.00000000000006</v>
      </c>
      <c r="I8" s="3">
        <f t="shared" si="1"/>
        <v>399.00000000000006</v>
      </c>
      <c r="J8" s="3">
        <f t="shared" si="1"/>
        <v>308.00000000000006</v>
      </c>
      <c r="K8" s="3">
        <f t="shared" si="1"/>
        <v>350.00000000000006</v>
      </c>
      <c r="L8" s="3">
        <f t="shared" si="1"/>
        <v>392.00000000000006</v>
      </c>
      <c r="M8" s="3">
        <f t="shared" si="1"/>
        <v>434.00000000000006</v>
      </c>
      <c r="N8" s="3">
        <f t="shared" si="1"/>
        <v>308.00000000000006</v>
      </c>
      <c r="O8" s="3">
        <f t="shared" si="1"/>
        <v>350.00000000000006</v>
      </c>
      <c r="P8" s="3">
        <f t="shared" si="1"/>
        <v>392.00000000000006</v>
      </c>
      <c r="Q8" s="3">
        <f t="shared" si="1"/>
        <v>434.00000000000006</v>
      </c>
    </row>
    <row r="9" spans="1:17" s="2" customFormat="1" x14ac:dyDescent="0.4">
      <c r="A9" s="4" t="s">
        <v>7</v>
      </c>
      <c r="B9" s="3">
        <f t="shared" ref="B9:Q9" si="2">B7+B8</f>
        <v>4494</v>
      </c>
      <c r="C9" s="3">
        <f t="shared" si="2"/>
        <v>5029</v>
      </c>
      <c r="D9" s="3">
        <f t="shared" si="2"/>
        <v>5564</v>
      </c>
      <c r="E9" s="3">
        <f t="shared" si="2"/>
        <v>6099</v>
      </c>
      <c r="F9" s="3">
        <f t="shared" si="2"/>
        <v>4494</v>
      </c>
      <c r="G9" s="3">
        <f t="shared" si="2"/>
        <v>5029</v>
      </c>
      <c r="H9" s="3">
        <f t="shared" si="2"/>
        <v>5564</v>
      </c>
      <c r="I9" s="3">
        <f t="shared" si="2"/>
        <v>6099</v>
      </c>
      <c r="J9" s="3">
        <f t="shared" si="2"/>
        <v>4708</v>
      </c>
      <c r="K9" s="3">
        <f t="shared" si="2"/>
        <v>5350</v>
      </c>
      <c r="L9" s="10">
        <f t="shared" si="2"/>
        <v>5992</v>
      </c>
      <c r="M9" s="3">
        <f t="shared" si="2"/>
        <v>6634</v>
      </c>
      <c r="N9" s="3">
        <f t="shared" si="2"/>
        <v>4708</v>
      </c>
      <c r="O9" s="3">
        <f t="shared" si="2"/>
        <v>5350</v>
      </c>
      <c r="P9" s="3">
        <f t="shared" si="2"/>
        <v>5992</v>
      </c>
      <c r="Q9" s="3">
        <f t="shared" si="2"/>
        <v>6634</v>
      </c>
    </row>
    <row r="10" spans="1:17" s="2" customFormat="1" x14ac:dyDescent="0.4"/>
    <row r="11" spans="1:17" s="2" customFormat="1" x14ac:dyDescent="0.4">
      <c r="A11" s="4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s="2" customFormat="1" x14ac:dyDescent="0.4">
      <c r="A12" s="4" t="s">
        <v>10</v>
      </c>
      <c r="B12" s="3">
        <v>1000</v>
      </c>
      <c r="C12" s="3">
        <v>1500</v>
      </c>
      <c r="D12" s="3">
        <v>2000</v>
      </c>
      <c r="E12" s="3">
        <v>2500</v>
      </c>
      <c r="F12" s="3">
        <v>1000</v>
      </c>
      <c r="G12" s="3">
        <v>1500</v>
      </c>
      <c r="H12" s="3">
        <v>2000</v>
      </c>
      <c r="I12" s="3">
        <v>2500</v>
      </c>
      <c r="J12" s="3">
        <v>1200</v>
      </c>
      <c r="K12" s="3">
        <v>1800</v>
      </c>
      <c r="L12" s="3">
        <v>2400</v>
      </c>
      <c r="M12" s="3">
        <v>3000</v>
      </c>
      <c r="N12" s="3">
        <v>1200</v>
      </c>
      <c r="O12" s="3">
        <v>1800</v>
      </c>
      <c r="P12" s="3">
        <v>2400</v>
      </c>
      <c r="Q12" s="3">
        <v>3000</v>
      </c>
    </row>
    <row r="13" spans="1:17" s="2" customFormat="1" x14ac:dyDescent="0.4">
      <c r="A13" s="4" t="s">
        <v>5</v>
      </c>
      <c r="B13" s="3">
        <v>6400</v>
      </c>
      <c r="C13" s="3">
        <v>6400</v>
      </c>
      <c r="D13" s="3">
        <v>6400</v>
      </c>
      <c r="E13" s="3">
        <v>6400</v>
      </c>
      <c r="F13" s="3">
        <v>6400</v>
      </c>
      <c r="G13" s="3">
        <v>6400</v>
      </c>
      <c r="H13" s="3">
        <v>6400</v>
      </c>
      <c r="I13" s="3">
        <v>6400</v>
      </c>
      <c r="J13" s="3">
        <v>6400</v>
      </c>
      <c r="K13" s="3">
        <v>6400</v>
      </c>
      <c r="L13" s="3">
        <v>6400</v>
      </c>
      <c r="M13" s="3">
        <v>6400</v>
      </c>
      <c r="N13" s="3">
        <v>6400</v>
      </c>
      <c r="O13" s="3">
        <v>6400</v>
      </c>
      <c r="P13" s="3">
        <v>6400</v>
      </c>
      <c r="Q13" s="3">
        <v>6400</v>
      </c>
    </row>
    <row r="14" spans="1:17" s="2" customFormat="1" x14ac:dyDescent="0.4">
      <c r="A14" s="5" t="s">
        <v>16</v>
      </c>
      <c r="B14" s="3">
        <f t="shared" ref="B14:Q14" si="3">SUM(B11:B13)</f>
        <v>7400</v>
      </c>
      <c r="C14" s="3">
        <f t="shared" si="3"/>
        <v>7900</v>
      </c>
      <c r="D14" s="3">
        <f t="shared" si="3"/>
        <v>8400</v>
      </c>
      <c r="E14" s="3">
        <f t="shared" si="3"/>
        <v>8900</v>
      </c>
      <c r="F14" s="3">
        <f t="shared" si="3"/>
        <v>7400</v>
      </c>
      <c r="G14" s="3">
        <f t="shared" si="3"/>
        <v>7900</v>
      </c>
      <c r="H14" s="3">
        <f t="shared" si="3"/>
        <v>8400</v>
      </c>
      <c r="I14" s="3">
        <f t="shared" si="3"/>
        <v>8900</v>
      </c>
      <c r="J14" s="3">
        <f t="shared" si="3"/>
        <v>7600</v>
      </c>
      <c r="K14" s="3">
        <f t="shared" si="3"/>
        <v>8200</v>
      </c>
      <c r="L14" s="3">
        <f t="shared" si="3"/>
        <v>8800</v>
      </c>
      <c r="M14" s="3">
        <f t="shared" si="3"/>
        <v>9400</v>
      </c>
      <c r="N14" s="3">
        <f t="shared" si="3"/>
        <v>7600</v>
      </c>
      <c r="O14" s="3">
        <f t="shared" si="3"/>
        <v>8200</v>
      </c>
      <c r="P14" s="3">
        <f t="shared" si="3"/>
        <v>8800</v>
      </c>
      <c r="Q14" s="3">
        <f t="shared" si="3"/>
        <v>9400</v>
      </c>
    </row>
    <row r="15" spans="1:17" s="2" customFormat="1" x14ac:dyDescent="0.4">
      <c r="A15" s="4" t="s">
        <v>6</v>
      </c>
      <c r="B15" s="3">
        <f t="shared" ref="B15:Q15" si="4">B14*0.07</f>
        <v>518</v>
      </c>
      <c r="C15" s="3">
        <f t="shared" si="4"/>
        <v>553</v>
      </c>
      <c r="D15" s="3">
        <f t="shared" si="4"/>
        <v>588</v>
      </c>
      <c r="E15" s="3">
        <f t="shared" si="4"/>
        <v>623.00000000000011</v>
      </c>
      <c r="F15" s="3">
        <f t="shared" si="4"/>
        <v>518</v>
      </c>
      <c r="G15" s="3">
        <f t="shared" si="4"/>
        <v>553</v>
      </c>
      <c r="H15" s="3">
        <f t="shared" si="4"/>
        <v>588</v>
      </c>
      <c r="I15" s="3">
        <f t="shared" si="4"/>
        <v>623.00000000000011</v>
      </c>
      <c r="J15" s="3">
        <f t="shared" si="4"/>
        <v>532</v>
      </c>
      <c r="K15" s="3">
        <f t="shared" si="4"/>
        <v>574</v>
      </c>
      <c r="L15" s="3">
        <f t="shared" si="4"/>
        <v>616.00000000000011</v>
      </c>
      <c r="M15" s="3">
        <f t="shared" si="4"/>
        <v>658.00000000000011</v>
      </c>
      <c r="N15" s="3">
        <f t="shared" si="4"/>
        <v>532</v>
      </c>
      <c r="O15" s="3">
        <f t="shared" si="4"/>
        <v>574</v>
      </c>
      <c r="P15" s="3">
        <f t="shared" si="4"/>
        <v>616.00000000000011</v>
      </c>
      <c r="Q15" s="3">
        <f t="shared" si="4"/>
        <v>658.00000000000011</v>
      </c>
    </row>
    <row r="16" spans="1:17" s="2" customFormat="1" x14ac:dyDescent="0.4">
      <c r="A16" s="4" t="s">
        <v>7</v>
      </c>
      <c r="B16" s="3">
        <f t="shared" ref="B16:Q16" si="5">B14+B15</f>
        <v>7918</v>
      </c>
      <c r="C16" s="3">
        <f t="shared" si="5"/>
        <v>8453</v>
      </c>
      <c r="D16" s="3">
        <f t="shared" si="5"/>
        <v>8988</v>
      </c>
      <c r="E16" s="3">
        <f t="shared" si="5"/>
        <v>9523</v>
      </c>
      <c r="F16" s="3">
        <f t="shared" si="5"/>
        <v>7918</v>
      </c>
      <c r="G16" s="3">
        <f t="shared" si="5"/>
        <v>8453</v>
      </c>
      <c r="H16" s="3">
        <f t="shared" si="5"/>
        <v>8988</v>
      </c>
      <c r="I16" s="3">
        <f t="shared" si="5"/>
        <v>9523</v>
      </c>
      <c r="J16" s="3">
        <f t="shared" si="5"/>
        <v>8132</v>
      </c>
      <c r="K16" s="3">
        <f t="shared" si="5"/>
        <v>8774</v>
      </c>
      <c r="L16" s="3">
        <f t="shared" si="5"/>
        <v>9416</v>
      </c>
      <c r="M16" s="3">
        <f t="shared" si="5"/>
        <v>10058</v>
      </c>
      <c r="N16" s="3">
        <f t="shared" si="5"/>
        <v>8132</v>
      </c>
      <c r="O16" s="3">
        <f t="shared" si="5"/>
        <v>8774</v>
      </c>
      <c r="P16" s="3">
        <f t="shared" si="5"/>
        <v>9416</v>
      </c>
      <c r="Q16" s="3">
        <f t="shared" si="5"/>
        <v>10058</v>
      </c>
    </row>
    <row r="17" spans="1:17" s="2" customFormat="1" x14ac:dyDescent="0.4">
      <c r="A17" s="6"/>
      <c r="L17" s="2" t="s">
        <v>12</v>
      </c>
    </row>
    <row r="18" spans="1:17" s="2" customFormat="1" x14ac:dyDescent="0.4">
      <c r="A18" s="4" t="s">
        <v>9</v>
      </c>
      <c r="B18" s="3"/>
      <c r="C18" s="3"/>
      <c r="D18" s="3"/>
      <c r="E18" s="3"/>
      <c r="F18" s="3"/>
      <c r="G18" s="3"/>
      <c r="H18" s="3"/>
      <c r="I18" s="3"/>
      <c r="J18" s="11"/>
      <c r="K18" s="3"/>
      <c r="L18" s="11"/>
      <c r="M18" s="10"/>
      <c r="N18" s="3"/>
      <c r="O18" s="3"/>
      <c r="P18" s="3"/>
      <c r="Q18" s="3"/>
    </row>
    <row r="19" spans="1:17" s="2" customFormat="1" x14ac:dyDescent="0.4">
      <c r="A19" s="4" t="s">
        <v>10</v>
      </c>
      <c r="B19" s="3">
        <v>1000</v>
      </c>
      <c r="C19" s="3">
        <v>1500</v>
      </c>
      <c r="D19" s="3">
        <v>2000</v>
      </c>
      <c r="E19" s="3">
        <v>2500</v>
      </c>
      <c r="F19" s="3">
        <v>1000</v>
      </c>
      <c r="G19" s="3">
        <v>1500</v>
      </c>
      <c r="H19" s="3">
        <v>2000</v>
      </c>
      <c r="I19" s="3">
        <v>2500</v>
      </c>
      <c r="J19" s="11">
        <v>1200</v>
      </c>
      <c r="K19" s="3">
        <v>1800</v>
      </c>
      <c r="L19" s="11">
        <v>2400</v>
      </c>
      <c r="M19" s="10">
        <v>3000</v>
      </c>
      <c r="N19" s="3">
        <v>1200</v>
      </c>
      <c r="O19" s="3">
        <v>1800</v>
      </c>
      <c r="P19" s="3">
        <v>2400</v>
      </c>
      <c r="Q19" s="3">
        <v>3000</v>
      </c>
    </row>
    <row r="20" spans="1:17" s="2" customFormat="1" x14ac:dyDescent="0.4">
      <c r="A20" s="4" t="s">
        <v>5</v>
      </c>
      <c r="B20" s="3">
        <v>9600</v>
      </c>
      <c r="C20" s="3">
        <v>9600</v>
      </c>
      <c r="D20" s="3">
        <v>9600</v>
      </c>
      <c r="E20" s="3">
        <v>9600</v>
      </c>
      <c r="F20" s="3">
        <v>9600</v>
      </c>
      <c r="G20" s="3">
        <v>9600</v>
      </c>
      <c r="H20" s="3">
        <v>9600</v>
      </c>
      <c r="I20" s="3">
        <v>9600</v>
      </c>
      <c r="J20" s="11">
        <v>9600</v>
      </c>
      <c r="K20" s="3">
        <v>9600</v>
      </c>
      <c r="L20" s="11">
        <v>9600</v>
      </c>
      <c r="M20" s="10">
        <v>9600</v>
      </c>
      <c r="N20" s="3">
        <v>9600</v>
      </c>
      <c r="O20" s="3">
        <v>9600</v>
      </c>
      <c r="P20" s="3">
        <v>9600</v>
      </c>
      <c r="Q20" s="3">
        <v>9600</v>
      </c>
    </row>
    <row r="21" spans="1:17" s="2" customFormat="1" x14ac:dyDescent="0.4">
      <c r="A21" s="5" t="s">
        <v>16</v>
      </c>
      <c r="B21" s="3">
        <f t="shared" ref="B21:Q21" si="6">SUM(B18:B20)</f>
        <v>10600</v>
      </c>
      <c r="C21" s="3">
        <f t="shared" si="6"/>
        <v>11100</v>
      </c>
      <c r="D21" s="3">
        <f t="shared" si="6"/>
        <v>11600</v>
      </c>
      <c r="E21" s="3">
        <f t="shared" si="6"/>
        <v>12100</v>
      </c>
      <c r="F21" s="3">
        <f t="shared" si="6"/>
        <v>10600</v>
      </c>
      <c r="G21" s="3">
        <f t="shared" si="6"/>
        <v>11100</v>
      </c>
      <c r="H21" s="3">
        <f t="shared" si="6"/>
        <v>11600</v>
      </c>
      <c r="I21" s="3">
        <f t="shared" si="6"/>
        <v>12100</v>
      </c>
      <c r="J21" s="11">
        <f t="shared" si="6"/>
        <v>10800</v>
      </c>
      <c r="K21" s="3">
        <f t="shared" si="6"/>
        <v>11400</v>
      </c>
      <c r="L21" s="11">
        <f t="shared" si="6"/>
        <v>12000</v>
      </c>
      <c r="M21" s="10">
        <f t="shared" si="6"/>
        <v>12600</v>
      </c>
      <c r="N21" s="3">
        <f t="shared" si="6"/>
        <v>10800</v>
      </c>
      <c r="O21" s="3">
        <f t="shared" si="6"/>
        <v>11400</v>
      </c>
      <c r="P21" s="3">
        <f t="shared" si="6"/>
        <v>12000</v>
      </c>
      <c r="Q21" s="3">
        <f t="shared" si="6"/>
        <v>12600</v>
      </c>
    </row>
    <row r="22" spans="1:17" s="2" customFormat="1" x14ac:dyDescent="0.4">
      <c r="A22" s="4" t="s">
        <v>6</v>
      </c>
      <c r="B22" s="3">
        <f t="shared" ref="B22:Q22" si="7">B21*0.07</f>
        <v>742.00000000000011</v>
      </c>
      <c r="C22" s="3">
        <f t="shared" si="7"/>
        <v>777.00000000000011</v>
      </c>
      <c r="D22" s="3">
        <f t="shared" si="7"/>
        <v>812.00000000000011</v>
      </c>
      <c r="E22" s="3">
        <f t="shared" si="7"/>
        <v>847.00000000000011</v>
      </c>
      <c r="F22" s="3">
        <f t="shared" si="7"/>
        <v>742.00000000000011</v>
      </c>
      <c r="G22" s="3">
        <f t="shared" si="7"/>
        <v>777.00000000000011</v>
      </c>
      <c r="H22" s="3">
        <f t="shared" si="7"/>
        <v>812.00000000000011</v>
      </c>
      <c r="I22" s="3">
        <f t="shared" si="7"/>
        <v>847.00000000000011</v>
      </c>
      <c r="J22" s="11">
        <f t="shared" si="7"/>
        <v>756.00000000000011</v>
      </c>
      <c r="K22" s="3">
        <f t="shared" si="7"/>
        <v>798.00000000000011</v>
      </c>
      <c r="L22" s="11">
        <f t="shared" si="7"/>
        <v>840.00000000000011</v>
      </c>
      <c r="M22" s="10">
        <f t="shared" si="7"/>
        <v>882.00000000000011</v>
      </c>
      <c r="N22" s="3">
        <f t="shared" si="7"/>
        <v>756.00000000000011</v>
      </c>
      <c r="O22" s="3">
        <f t="shared" si="7"/>
        <v>798.00000000000011</v>
      </c>
      <c r="P22" s="3">
        <f t="shared" si="7"/>
        <v>840.00000000000011</v>
      </c>
      <c r="Q22" s="3">
        <f t="shared" si="7"/>
        <v>882.00000000000011</v>
      </c>
    </row>
    <row r="23" spans="1:17" s="2" customFormat="1" x14ac:dyDescent="0.4">
      <c r="A23" s="4" t="s">
        <v>7</v>
      </c>
      <c r="B23" s="3">
        <f t="shared" ref="B23:Q23" si="8">B21+B22</f>
        <v>11342</v>
      </c>
      <c r="C23" s="3">
        <f t="shared" si="8"/>
        <v>11877</v>
      </c>
      <c r="D23" s="3">
        <f t="shared" si="8"/>
        <v>12412</v>
      </c>
      <c r="E23" s="3">
        <f t="shared" si="8"/>
        <v>12947</v>
      </c>
      <c r="F23" s="3">
        <f t="shared" si="8"/>
        <v>11342</v>
      </c>
      <c r="G23" s="3">
        <f t="shared" si="8"/>
        <v>11877</v>
      </c>
      <c r="H23" s="3">
        <f t="shared" si="8"/>
        <v>12412</v>
      </c>
      <c r="I23" s="3">
        <f t="shared" si="8"/>
        <v>12947</v>
      </c>
      <c r="J23" s="11">
        <f t="shared" si="8"/>
        <v>11556</v>
      </c>
      <c r="K23" s="3">
        <f t="shared" si="8"/>
        <v>12198</v>
      </c>
      <c r="L23" s="11">
        <f t="shared" si="8"/>
        <v>12840</v>
      </c>
      <c r="M23" s="10">
        <f t="shared" si="8"/>
        <v>13482</v>
      </c>
      <c r="N23" s="3">
        <f t="shared" si="8"/>
        <v>11556</v>
      </c>
      <c r="O23" s="3">
        <f t="shared" si="8"/>
        <v>12198</v>
      </c>
      <c r="P23" s="3">
        <f t="shared" si="8"/>
        <v>12840</v>
      </c>
      <c r="Q23" s="3">
        <f t="shared" si="8"/>
        <v>13482</v>
      </c>
    </row>
    <row r="25" spans="1:17" x14ac:dyDescent="0.4">
      <c r="A25" s="4" t="s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4">
      <c r="A26" s="4" t="s">
        <v>10</v>
      </c>
      <c r="B26" s="3">
        <v>1000</v>
      </c>
      <c r="C26" s="3">
        <v>1500</v>
      </c>
      <c r="D26" s="3">
        <v>2000</v>
      </c>
      <c r="E26" s="3">
        <v>2500</v>
      </c>
      <c r="F26" s="3">
        <v>1000</v>
      </c>
      <c r="G26" s="3">
        <v>1500</v>
      </c>
      <c r="H26" s="3">
        <v>2000</v>
      </c>
      <c r="I26" s="3">
        <v>2500</v>
      </c>
      <c r="J26" s="3">
        <v>1200</v>
      </c>
      <c r="K26" s="3">
        <v>1800</v>
      </c>
      <c r="L26" s="3">
        <v>2400</v>
      </c>
      <c r="M26" s="3">
        <v>3000</v>
      </c>
      <c r="N26" s="3">
        <v>1200</v>
      </c>
      <c r="O26" s="3">
        <v>1800</v>
      </c>
      <c r="P26" s="3">
        <v>2400</v>
      </c>
      <c r="Q26" s="3">
        <v>3000</v>
      </c>
    </row>
    <row r="27" spans="1:17" x14ac:dyDescent="0.4">
      <c r="A27" s="4" t="s">
        <v>5</v>
      </c>
      <c r="B27" s="3">
        <v>12800</v>
      </c>
      <c r="C27" s="3">
        <v>12800</v>
      </c>
      <c r="D27" s="3">
        <v>12800</v>
      </c>
      <c r="E27" s="3">
        <v>12800</v>
      </c>
      <c r="F27" s="3">
        <v>12800</v>
      </c>
      <c r="G27" s="3">
        <v>12800</v>
      </c>
      <c r="H27" s="3">
        <v>12800</v>
      </c>
      <c r="I27" s="3">
        <v>12800</v>
      </c>
      <c r="J27" s="3">
        <v>12800</v>
      </c>
      <c r="K27" s="3">
        <v>12800</v>
      </c>
      <c r="L27" s="3">
        <v>12800</v>
      </c>
      <c r="M27" s="3">
        <v>12800</v>
      </c>
      <c r="N27" s="3">
        <v>12800</v>
      </c>
      <c r="O27" s="3">
        <v>12800</v>
      </c>
      <c r="P27" s="3">
        <v>12800</v>
      </c>
      <c r="Q27" s="3">
        <v>12800</v>
      </c>
    </row>
    <row r="28" spans="1:17" x14ac:dyDescent="0.4">
      <c r="A28" s="5" t="s">
        <v>16</v>
      </c>
      <c r="B28" s="3">
        <f t="shared" ref="B28:Q28" si="9">SUM(B25:B27)</f>
        <v>13800</v>
      </c>
      <c r="C28" s="3">
        <f t="shared" si="9"/>
        <v>14300</v>
      </c>
      <c r="D28" s="3">
        <f t="shared" si="9"/>
        <v>14800</v>
      </c>
      <c r="E28" s="3">
        <f t="shared" si="9"/>
        <v>15300</v>
      </c>
      <c r="F28" s="3">
        <f t="shared" si="9"/>
        <v>13800</v>
      </c>
      <c r="G28" s="3">
        <f t="shared" si="9"/>
        <v>14300</v>
      </c>
      <c r="H28" s="3">
        <f t="shared" si="9"/>
        <v>14800</v>
      </c>
      <c r="I28" s="3">
        <f t="shared" si="9"/>
        <v>15300</v>
      </c>
      <c r="J28" s="3">
        <f t="shared" si="9"/>
        <v>14000</v>
      </c>
      <c r="K28" s="3">
        <f t="shared" si="9"/>
        <v>14600</v>
      </c>
      <c r="L28" s="3">
        <f t="shared" si="9"/>
        <v>15200</v>
      </c>
      <c r="M28" s="3">
        <f t="shared" si="9"/>
        <v>15800</v>
      </c>
      <c r="N28" s="3">
        <f t="shared" si="9"/>
        <v>14000</v>
      </c>
      <c r="O28" s="3">
        <f t="shared" si="9"/>
        <v>14600</v>
      </c>
      <c r="P28" s="3">
        <f t="shared" si="9"/>
        <v>15200</v>
      </c>
      <c r="Q28" s="3">
        <f t="shared" si="9"/>
        <v>15800</v>
      </c>
    </row>
    <row r="29" spans="1:17" x14ac:dyDescent="0.4">
      <c r="A29" s="4" t="s">
        <v>6</v>
      </c>
      <c r="B29" s="3">
        <f t="shared" ref="B29:Q29" si="10">B28*0.07</f>
        <v>966.00000000000011</v>
      </c>
      <c r="C29" s="3">
        <f t="shared" si="10"/>
        <v>1001.0000000000001</v>
      </c>
      <c r="D29" s="3">
        <f t="shared" si="10"/>
        <v>1036</v>
      </c>
      <c r="E29" s="3">
        <f t="shared" si="10"/>
        <v>1071</v>
      </c>
      <c r="F29" s="3">
        <f t="shared" si="10"/>
        <v>966.00000000000011</v>
      </c>
      <c r="G29" s="3">
        <f t="shared" si="10"/>
        <v>1001.0000000000001</v>
      </c>
      <c r="H29" s="3">
        <f t="shared" si="10"/>
        <v>1036</v>
      </c>
      <c r="I29" s="3">
        <f t="shared" si="10"/>
        <v>1071</v>
      </c>
      <c r="J29" s="3">
        <f t="shared" si="10"/>
        <v>980.00000000000011</v>
      </c>
      <c r="K29" s="3">
        <f t="shared" si="10"/>
        <v>1022.0000000000001</v>
      </c>
      <c r="L29" s="3">
        <f t="shared" si="10"/>
        <v>1064</v>
      </c>
      <c r="M29" s="3">
        <f t="shared" si="10"/>
        <v>1106</v>
      </c>
      <c r="N29" s="3">
        <f t="shared" si="10"/>
        <v>980.00000000000011</v>
      </c>
      <c r="O29" s="3">
        <f t="shared" si="10"/>
        <v>1022.0000000000001</v>
      </c>
      <c r="P29" s="3">
        <f t="shared" si="10"/>
        <v>1064</v>
      </c>
      <c r="Q29" s="3">
        <f t="shared" si="10"/>
        <v>1106</v>
      </c>
    </row>
    <row r="30" spans="1:17" x14ac:dyDescent="0.4">
      <c r="A30" s="4" t="s">
        <v>7</v>
      </c>
      <c r="B30" s="3">
        <f t="shared" ref="B30:Q30" si="11">B28+B29</f>
        <v>14766</v>
      </c>
      <c r="C30" s="3">
        <f t="shared" si="11"/>
        <v>15301</v>
      </c>
      <c r="D30" s="3">
        <f t="shared" si="11"/>
        <v>15836</v>
      </c>
      <c r="E30" s="3">
        <f t="shared" si="11"/>
        <v>16371</v>
      </c>
      <c r="F30" s="3">
        <f t="shared" si="11"/>
        <v>14766</v>
      </c>
      <c r="G30" s="3">
        <f t="shared" si="11"/>
        <v>15301</v>
      </c>
      <c r="H30" s="3">
        <f t="shared" si="11"/>
        <v>15836</v>
      </c>
      <c r="I30" s="3">
        <f t="shared" si="11"/>
        <v>16371</v>
      </c>
      <c r="J30" s="3">
        <f t="shared" si="11"/>
        <v>14980</v>
      </c>
      <c r="K30" s="3">
        <f t="shared" si="11"/>
        <v>15622</v>
      </c>
      <c r="L30" s="3">
        <f t="shared" si="11"/>
        <v>16264</v>
      </c>
      <c r="M30" s="3">
        <f t="shared" si="11"/>
        <v>16906</v>
      </c>
      <c r="N30" s="3">
        <f t="shared" si="11"/>
        <v>14980</v>
      </c>
      <c r="O30" s="3">
        <f t="shared" si="11"/>
        <v>15622</v>
      </c>
      <c r="P30" s="3">
        <f t="shared" si="11"/>
        <v>16264</v>
      </c>
      <c r="Q30" s="3">
        <f t="shared" si="11"/>
        <v>16906</v>
      </c>
    </row>
    <row r="32" spans="1:17" x14ac:dyDescent="0.4">
      <c r="A32" s="4" t="s">
        <v>20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4">
      <c r="A33" s="4" t="s">
        <v>10</v>
      </c>
      <c r="B33" s="3">
        <v>1000</v>
      </c>
      <c r="C33" s="3">
        <v>1500</v>
      </c>
      <c r="D33" s="3">
        <v>2000</v>
      </c>
      <c r="E33" s="3">
        <v>2500</v>
      </c>
      <c r="F33" s="3">
        <v>1000</v>
      </c>
      <c r="G33" s="3">
        <v>1500</v>
      </c>
      <c r="H33" s="3">
        <v>2000</v>
      </c>
      <c r="I33" s="3">
        <v>2500</v>
      </c>
      <c r="J33" s="3">
        <v>1200</v>
      </c>
      <c r="K33" s="3">
        <v>1800</v>
      </c>
      <c r="L33" s="3">
        <v>2400</v>
      </c>
      <c r="M33" s="3">
        <v>3000</v>
      </c>
      <c r="N33" s="3">
        <v>1200</v>
      </c>
      <c r="O33" s="3">
        <v>1800</v>
      </c>
      <c r="P33" s="3">
        <v>2400</v>
      </c>
      <c r="Q33" s="3">
        <v>3000</v>
      </c>
    </row>
    <row r="34" spans="1:17" x14ac:dyDescent="0.4">
      <c r="A34" s="4" t="s">
        <v>5</v>
      </c>
      <c r="B34" s="3">
        <v>16000</v>
      </c>
      <c r="C34" s="3">
        <v>16000</v>
      </c>
      <c r="D34" s="3">
        <v>16000</v>
      </c>
      <c r="E34" s="3">
        <v>16000</v>
      </c>
      <c r="F34" s="3">
        <v>16000</v>
      </c>
      <c r="G34" s="3">
        <v>16000</v>
      </c>
      <c r="H34" s="3">
        <v>16000</v>
      </c>
      <c r="I34" s="3">
        <v>16000</v>
      </c>
      <c r="J34" s="3">
        <v>16000</v>
      </c>
      <c r="K34" s="3">
        <v>16000</v>
      </c>
      <c r="L34" s="3">
        <v>16000</v>
      </c>
      <c r="M34" s="3">
        <v>16000</v>
      </c>
      <c r="N34" s="3">
        <v>16000</v>
      </c>
      <c r="O34" s="3">
        <v>16000</v>
      </c>
      <c r="P34" s="3">
        <v>16000</v>
      </c>
      <c r="Q34" s="3">
        <v>16000</v>
      </c>
    </row>
    <row r="35" spans="1:17" x14ac:dyDescent="0.4">
      <c r="A35" s="5" t="s">
        <v>16</v>
      </c>
      <c r="B35" s="3">
        <f t="shared" ref="B35:Q35" si="12">SUM(B32:B34)</f>
        <v>17000</v>
      </c>
      <c r="C35" s="3">
        <f t="shared" si="12"/>
        <v>17500</v>
      </c>
      <c r="D35" s="3">
        <f t="shared" si="12"/>
        <v>18000</v>
      </c>
      <c r="E35" s="3">
        <f t="shared" si="12"/>
        <v>18500</v>
      </c>
      <c r="F35" s="3">
        <f t="shared" si="12"/>
        <v>17000</v>
      </c>
      <c r="G35" s="3">
        <f t="shared" si="12"/>
        <v>17500</v>
      </c>
      <c r="H35" s="3">
        <f t="shared" si="12"/>
        <v>18000</v>
      </c>
      <c r="I35" s="3">
        <f t="shared" si="12"/>
        <v>18500</v>
      </c>
      <c r="J35" s="3">
        <f t="shared" si="12"/>
        <v>17200</v>
      </c>
      <c r="K35" s="3">
        <f t="shared" si="12"/>
        <v>17800</v>
      </c>
      <c r="L35" s="3">
        <f t="shared" si="12"/>
        <v>18400</v>
      </c>
      <c r="M35" s="3">
        <f t="shared" si="12"/>
        <v>19000</v>
      </c>
      <c r="N35" s="3">
        <f t="shared" si="12"/>
        <v>17200</v>
      </c>
      <c r="O35" s="3">
        <f t="shared" si="12"/>
        <v>17800</v>
      </c>
      <c r="P35" s="3">
        <f t="shared" si="12"/>
        <v>18400</v>
      </c>
      <c r="Q35" s="3">
        <f t="shared" si="12"/>
        <v>19000</v>
      </c>
    </row>
    <row r="36" spans="1:17" x14ac:dyDescent="0.4">
      <c r="A36" s="4" t="s">
        <v>6</v>
      </c>
      <c r="B36" s="3">
        <f t="shared" ref="B36:Q36" si="13">B35*0.07</f>
        <v>1190</v>
      </c>
      <c r="C36" s="3">
        <f t="shared" si="13"/>
        <v>1225.0000000000002</v>
      </c>
      <c r="D36" s="3">
        <f t="shared" si="13"/>
        <v>1260.0000000000002</v>
      </c>
      <c r="E36" s="3">
        <f t="shared" si="13"/>
        <v>1295.0000000000002</v>
      </c>
      <c r="F36" s="3">
        <f t="shared" si="13"/>
        <v>1190</v>
      </c>
      <c r="G36" s="3">
        <f t="shared" si="13"/>
        <v>1225.0000000000002</v>
      </c>
      <c r="H36" s="3">
        <f t="shared" si="13"/>
        <v>1260.0000000000002</v>
      </c>
      <c r="I36" s="3">
        <f t="shared" si="13"/>
        <v>1295.0000000000002</v>
      </c>
      <c r="J36" s="3">
        <f t="shared" si="13"/>
        <v>1204.0000000000002</v>
      </c>
      <c r="K36" s="3">
        <f t="shared" si="13"/>
        <v>1246.0000000000002</v>
      </c>
      <c r="L36" s="3">
        <f t="shared" si="13"/>
        <v>1288.0000000000002</v>
      </c>
      <c r="M36" s="3">
        <f t="shared" si="13"/>
        <v>1330.0000000000002</v>
      </c>
      <c r="N36" s="3">
        <f t="shared" si="13"/>
        <v>1204.0000000000002</v>
      </c>
      <c r="O36" s="3">
        <f t="shared" si="13"/>
        <v>1246.0000000000002</v>
      </c>
      <c r="P36" s="3">
        <f t="shared" si="13"/>
        <v>1288.0000000000002</v>
      </c>
      <c r="Q36" s="3">
        <f t="shared" si="13"/>
        <v>1330.0000000000002</v>
      </c>
    </row>
    <row r="37" spans="1:17" x14ac:dyDescent="0.4">
      <c r="A37" s="4" t="s">
        <v>7</v>
      </c>
      <c r="B37" s="3">
        <f t="shared" ref="B37:Q37" si="14">B35+B36</f>
        <v>18190</v>
      </c>
      <c r="C37" s="3">
        <f t="shared" si="14"/>
        <v>18725</v>
      </c>
      <c r="D37" s="3">
        <f t="shared" si="14"/>
        <v>19260</v>
      </c>
      <c r="E37" s="3">
        <f t="shared" si="14"/>
        <v>19795</v>
      </c>
      <c r="F37" s="3">
        <f t="shared" si="14"/>
        <v>18190</v>
      </c>
      <c r="G37" s="3">
        <f t="shared" si="14"/>
        <v>18725</v>
      </c>
      <c r="H37" s="3">
        <f t="shared" si="14"/>
        <v>19260</v>
      </c>
      <c r="I37" s="3">
        <f t="shared" si="14"/>
        <v>19795</v>
      </c>
      <c r="J37" s="3">
        <f t="shared" si="14"/>
        <v>18404</v>
      </c>
      <c r="K37" s="3">
        <f t="shared" si="14"/>
        <v>19046</v>
      </c>
      <c r="L37" s="3">
        <f t="shared" si="14"/>
        <v>19688</v>
      </c>
      <c r="M37" s="3">
        <f t="shared" si="14"/>
        <v>20330</v>
      </c>
      <c r="N37" s="3">
        <f t="shared" si="14"/>
        <v>18404</v>
      </c>
      <c r="O37" s="3">
        <f t="shared" si="14"/>
        <v>19046</v>
      </c>
      <c r="P37" s="3">
        <f t="shared" si="14"/>
        <v>19688</v>
      </c>
      <c r="Q37" s="3">
        <f t="shared" si="14"/>
        <v>20330</v>
      </c>
    </row>
    <row r="39" spans="1:17" x14ac:dyDescent="0.4">
      <c r="J39" s="1" t="str">
        <f>BAHTTEXT(M23)</f>
        <v>หนึ่งหมื่นสามพันสี่ร้อยแปดสิบสองบาทถ้วน</v>
      </c>
    </row>
  </sheetData>
  <mergeCells count="5">
    <mergeCell ref="A1:Q1"/>
    <mergeCell ref="B2:E2"/>
    <mergeCell ref="F2:I2"/>
    <mergeCell ref="J2:M2"/>
    <mergeCell ref="N2:Q2"/>
  </mergeCells>
  <pageMargins left="0.39370078740157483" right="0" top="0.31496062992125984" bottom="0.11811023622047245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ประเภท ก</vt:lpstr>
      <vt:lpstr>ประเภท ข</vt:lpstr>
      <vt:lpstr>ประเภท ก ยกเว้นค่าเช่า</vt:lpstr>
      <vt:lpstr>'ประเภท ก'!Print_Area</vt:lpstr>
      <vt:lpstr>'ประเภท ก ยกเว้นค่าเช่า'!Print_Area</vt:lpstr>
      <vt:lpstr>'ประเภท 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ithikorn karnthanapakdee</dc:creator>
  <cp:lastModifiedBy>Kanyanat Phothisawang</cp:lastModifiedBy>
  <cp:lastPrinted>2022-06-24T08:42:45Z</cp:lastPrinted>
  <dcterms:created xsi:type="dcterms:W3CDTF">2020-05-08T01:46:40Z</dcterms:created>
  <dcterms:modified xsi:type="dcterms:W3CDTF">2026-04-02T08:43:25Z</dcterms:modified>
</cp:coreProperties>
</file>